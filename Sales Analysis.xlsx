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7020" activeTab="1"/>
  </bookViews>
  <sheets>
    <sheet name="Project Instructions" sheetId="1" r:id="rId1"/>
    <sheet name="DashBoard" sheetId="9" r:id="rId2"/>
    <sheet name="Quantity by Region" sheetId="5" r:id="rId3"/>
    <sheet name="Customer Segment by Sales" sheetId="6" r:id="rId4"/>
    <sheet name="Sales by Region" sheetId="7" r:id="rId5"/>
    <sheet name="Sales of Product" sheetId="8" r:id="rId6"/>
    <sheet name="Final Project Dataset" sheetId="2" r:id="rId7"/>
    <sheet name="Sales Analysis" sheetId="3" r:id="rId8"/>
    <sheet name="WHAT-IF Analysis" sheetId="4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<sst xmlns="http://schemas.openxmlformats.org/spreadsheetml/2006/main" count="2360" uniqueCount="422">
  <si>
    <t>PR. Final Project - "Data Intelligence Dashboard"</t>
  </si>
  <si>
    <r>
      <rPr>
        <b/>
        <sz val="11"/>
        <color theme="1"/>
        <rFont val="Calibri"/>
        <charset val="134"/>
      </rPr>
      <t xml:space="preserve">Dataset: </t>
    </r>
    <r>
      <rPr>
        <sz val="11"/>
        <color theme="1"/>
        <rFont val="Calibri"/>
        <charset val="134"/>
      </rPr>
      <t xml:space="preserve">Use the 'Final Project Dataset' sheet containing 200+ records of customer transactions.
</t>
    </r>
    <r>
      <rPr>
        <b/>
        <sz val="11"/>
        <color theme="1"/>
        <rFont val="Calibri"/>
        <charset val="134"/>
      </rPr>
      <t xml:space="preserve">Objective: </t>
    </r>
    <r>
      <rPr>
        <sz val="11"/>
        <color theme="1"/>
        <rFont val="Calibri"/>
        <charset val="134"/>
      </rPr>
      <t xml:space="preserve">
Create a full-fledged analysis and reporting solution using Excel to analyze customer transactions, find insights, 
and build visualizations and dashboards.
</t>
    </r>
    <r>
      <rPr>
        <b/>
        <sz val="11"/>
        <color rgb="FF367526"/>
        <rFont val="Calibri"/>
        <charset val="134"/>
      </rPr>
      <t xml:space="preserve">Key Topics to Implement:
</t>
    </r>
    <r>
      <rPr>
        <sz val="11"/>
        <color rgb="FF38761D"/>
        <rFont val="Calibri"/>
        <charset val="134"/>
      </rPr>
      <t>- Date &amp; Time Functions: TODAY, NOW, DATEDIF, EOMONTH
- FILTER Function for multi-value returns
- Conditional Formatting with Icons/Arrows
- Create Timestamp (using NOW and iterative calculations)
- WHAT-IF Analysis: Scenario Manager, Goal Seek
- Linear Regression using Data Analysis Toolpak
- Data Analysis &amp; Storytelling from the dataset
- Use GroupBy concepts to find High-Value Customers using formulas
- Create Dashboard using:
    - Pivot Tables
    - Pivot Charts (Bar, Line, Pie)
    - Slicers and Timelines
    - KPI Indicators with Conditional Formatting
- Find most frequently purchased product or repeating names using formulas
- Compare two lists and extract matching names in a new column
- Create Abbreviations using TEXT functions
- Build a final report with insights and storytelling</t>
    </r>
    <r>
      <rPr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 xml:space="preserve">Deliverable:
</t>
    </r>
    <r>
      <rPr>
        <sz val="11"/>
        <color theme="1"/>
        <rFont val="Calibri"/>
        <charset val="134"/>
      </rPr>
      <t>- Well-structured workbook with multiple sheets (Raw Data, Analysis, Visualizations, Dashboard)
- Summary Insights with key metrics: Total Revenue, Top Customers, Most Sold Products, Regional Sales
- Use of all required formulas and functions as listed above</t>
    </r>
  </si>
  <si>
    <t>DashBoard</t>
  </si>
  <si>
    <t>Region</t>
  </si>
  <si>
    <t>Sum of Quantity</t>
  </si>
  <si>
    <t>Category</t>
  </si>
  <si>
    <t>Sum of Sales</t>
  </si>
  <si>
    <t>Central</t>
  </si>
  <si>
    <t>Appliances</t>
  </si>
  <si>
    <t>East</t>
  </si>
  <si>
    <t>Electronics</t>
  </si>
  <si>
    <t>North</t>
  </si>
  <si>
    <t>Furniture</t>
  </si>
  <si>
    <t>South</t>
  </si>
  <si>
    <t>Grand Total</t>
  </si>
  <si>
    <t>West</t>
  </si>
  <si>
    <t>Product_Name</t>
  </si>
  <si>
    <t>Blender</t>
  </si>
  <si>
    <t>Bookshelf</t>
  </si>
  <si>
    <t>Coffee Maker</t>
  </si>
  <si>
    <t>Desk</t>
  </si>
  <si>
    <t>Headphones</t>
  </si>
  <si>
    <t>Keyboard</t>
  </si>
  <si>
    <t>Laptop</t>
  </si>
  <si>
    <t>Monitor</t>
  </si>
  <si>
    <t>Office Chair</t>
  </si>
  <si>
    <t>Smartphone</t>
  </si>
  <si>
    <t>Transaction_ID</t>
  </si>
  <si>
    <t>Date</t>
  </si>
  <si>
    <t>Customer_ID</t>
  </si>
  <si>
    <t>Customer_Name</t>
  </si>
  <si>
    <t>Product_ID</t>
  </si>
  <si>
    <t>Quantity</t>
  </si>
  <si>
    <t>Unit_Price</t>
  </si>
  <si>
    <t>Payment_Method</t>
  </si>
  <si>
    <t>Customer_Segment</t>
  </si>
  <si>
    <t>Customer_Since</t>
  </si>
  <si>
    <t>Sales</t>
  </si>
  <si>
    <t>Month</t>
  </si>
  <si>
    <t>Year</t>
  </si>
  <si>
    <t>FILTERING</t>
  </si>
  <si>
    <t>TRX0155</t>
  </si>
  <si>
    <t>CUST023</t>
  </si>
  <si>
    <t>Paul Baker</t>
  </si>
  <si>
    <t>P009</t>
  </si>
  <si>
    <t>Cash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</si>
  <si>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</si>
  <si>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</si>
  <si>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</si>
  <si>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</si>
  <si>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</si>
  <si>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</si>
  <si>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</si>
  <si>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</si>
  <si>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</si>
  <si>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</si>
  <si>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PayPal</t>
  </si>
  <si>
    <t>Standard</t>
  </si>
  <si>
    <t>TRX0043</t>
  </si>
  <si>
    <t>CUST046</t>
  </si>
  <si>
    <t>Kathleen Bennett</t>
  </si>
  <si>
    <t>TRX0212</t>
  </si>
  <si>
    <t>CUST003</t>
  </si>
  <si>
    <t>Michael Brown</t>
  </si>
  <si>
    <t>P008</t>
  </si>
  <si>
    <t>TRX0092</t>
  </si>
  <si>
    <t>CUST024</t>
  </si>
  <si>
    <t>Dorothy Nelson</t>
  </si>
  <si>
    <t>TRX0193</t>
  </si>
  <si>
    <t>P003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</si>
  <si>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</si>
  <si>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</si>
  <si>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</si>
  <si>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</si>
  <si>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</si>
  <si>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</si>
  <si>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</si>
  <si>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</si>
  <si>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</si>
  <si>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</si>
  <si>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</si>
  <si>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</si>
  <si>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</si>
  <si>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</si>
  <si>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</si>
  <si>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</si>
  <si>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</si>
  <si>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</si>
  <si>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</si>
  <si>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</si>
  <si>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</si>
  <si>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</si>
  <si>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</si>
  <si>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</si>
  <si>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</si>
  <si>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</si>
  <si>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</si>
  <si>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</si>
  <si>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</si>
  <si>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</si>
  <si>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</si>
  <si>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</si>
  <si>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</si>
  <si>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</si>
  <si>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</si>
  <si>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</si>
  <si>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</si>
  <si>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</si>
  <si>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</si>
  <si>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</si>
  <si>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</si>
  <si>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</si>
  <si>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</si>
  <si>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</si>
  <si>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</si>
  <si>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</si>
  <si>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</si>
  <si>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</si>
  <si>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</si>
  <si>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</si>
  <si>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</si>
  <si>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</si>
  <si>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</si>
  <si>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</si>
  <si>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</si>
  <si>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</si>
  <si>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</si>
  <si>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TRX0004</t>
  </si>
  <si>
    <t>P010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</si>
  <si>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</si>
  <si>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</si>
  <si>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</si>
  <si>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</si>
  <si>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</si>
  <si>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</si>
  <si>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</si>
  <si>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</si>
  <si>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</si>
  <si>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</si>
  <si>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</si>
  <si>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</si>
  <si>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</si>
  <si>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</si>
  <si>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</si>
  <si>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</si>
  <si>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</si>
  <si>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</si>
  <si>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</si>
  <si>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</si>
  <si>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</si>
  <si>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</si>
  <si>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</si>
  <si>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</si>
  <si>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</si>
  <si>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</si>
  <si>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</si>
  <si>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</si>
  <si>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</si>
  <si>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</si>
  <si>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</si>
  <si>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</si>
  <si>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</si>
  <si>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</si>
  <si>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</si>
  <si>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</si>
  <si>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</si>
  <si>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</si>
  <si>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</si>
  <si>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</si>
  <si>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</si>
  <si>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</si>
  <si>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</si>
  <si>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</si>
  <si>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</si>
  <si>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</si>
  <si>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</si>
  <si>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</si>
  <si>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</si>
  <si>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</si>
  <si>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</si>
  <si>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</si>
  <si>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</si>
  <si>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</si>
  <si>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</si>
  <si>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</si>
  <si>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</si>
  <si>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</si>
  <si>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</si>
  <si>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</si>
  <si>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</si>
  <si>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</si>
  <si>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</si>
  <si>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</si>
  <si>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</si>
  <si>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</si>
  <si>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</si>
  <si>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</si>
  <si>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</si>
  <si>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</si>
  <si>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</si>
  <si>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</si>
  <si>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</si>
  <si>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</si>
  <si>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</si>
  <si>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</si>
  <si>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</si>
  <si>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</si>
  <si>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</si>
  <si>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</si>
  <si>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</si>
  <si>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</si>
  <si>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</si>
  <si>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</si>
  <si>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</si>
  <si>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</si>
  <si>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</si>
  <si>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</si>
  <si>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</si>
  <si>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</si>
  <si>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</si>
  <si>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</si>
  <si>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</si>
  <si>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</si>
  <si>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</si>
  <si>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</si>
  <si>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</si>
  <si>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</si>
  <si>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</si>
  <si>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</si>
  <si>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</si>
  <si>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</si>
  <si>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</si>
  <si>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</si>
  <si>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</si>
  <si>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</si>
  <si>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</si>
  <si>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</si>
  <si>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</si>
  <si>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</si>
  <si>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</si>
  <si>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</si>
  <si>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</si>
  <si>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</si>
  <si>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</si>
  <si>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</si>
  <si>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</si>
  <si>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</si>
  <si>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</si>
  <si>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</si>
  <si>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</si>
  <si>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</si>
  <si>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</si>
  <si>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</si>
  <si>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</si>
  <si>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</si>
  <si>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</si>
  <si>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</si>
  <si>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</si>
  <si>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</si>
  <si>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</si>
  <si>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</si>
  <si>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</si>
  <si>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</si>
  <si>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</si>
  <si>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</si>
  <si>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</si>
  <si>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</si>
  <si>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</si>
  <si>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</si>
  <si>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</si>
  <si>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</si>
  <si>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</si>
  <si>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</si>
  <si>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</si>
  <si>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</si>
  <si>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</si>
  <si>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</si>
  <si>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</si>
  <si>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</si>
  <si>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</si>
  <si>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</si>
  <si>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</si>
  <si>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</si>
  <si>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</si>
  <si>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</si>
  <si>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</si>
  <si>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</si>
  <si>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</si>
  <si>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</si>
  <si>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</si>
  <si>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</si>
  <si>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</si>
  <si>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</si>
  <si>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</si>
  <si>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</si>
  <si>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</si>
  <si>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</si>
  <si>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</si>
  <si>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</si>
  <si>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</si>
  <si>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</si>
  <si>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</si>
  <si>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</si>
  <si>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</si>
  <si>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</si>
  <si>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</si>
  <si>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</si>
  <si>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</si>
  <si>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</si>
  <si>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</si>
  <si>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</si>
  <si>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</si>
  <si>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</si>
  <si>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</si>
  <si>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</si>
  <si>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</si>
  <si>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</si>
  <si>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</si>
  <si>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</si>
  <si>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</si>
  <si>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</si>
  <si>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</si>
  <si>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</si>
  <si>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</si>
  <si>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</si>
  <si>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</si>
  <si>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</si>
  <si>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</si>
  <si>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</si>
  <si>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</si>
  <si>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</si>
  <si>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</si>
  <si>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</si>
  <si>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</si>
  <si>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</si>
  <si>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</si>
  <si>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</si>
  <si>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</si>
  <si>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</si>
  <si>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</si>
  <si>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</si>
  <si>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</si>
  <si>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</si>
  <si>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</si>
  <si>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</si>
  <si>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</si>
  <si>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</si>
  <si>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</si>
  <si>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</si>
  <si>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</si>
  <si>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</si>
  <si>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</si>
  <si>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</si>
  <si>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</si>
  <si>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</si>
  <si>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</si>
  <si>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</si>
  <si>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</si>
  <si>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</si>
  <si>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</si>
  <si>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</si>
  <si>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</si>
  <si>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</si>
  <si>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</si>
  <si>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</si>
  <si>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</si>
  <si>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</si>
  <si>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</si>
  <si>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</si>
  <si>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</si>
  <si>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</si>
  <si>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</si>
  <si>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</si>
  <si>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</si>
  <si>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</si>
  <si>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</si>
  <si>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</si>
  <si>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</si>
  <si>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</si>
  <si>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</si>
  <si>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</si>
  <si>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</si>
  <si>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</si>
  <si>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</si>
  <si>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</si>
  <si>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</si>
  <si>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</si>
  <si>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</si>
  <si>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</si>
  <si>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</si>
  <si>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</si>
  <si>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</si>
  <si>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</si>
  <si>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</si>
  <si>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</si>
  <si>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</si>
  <si>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</si>
  <si>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</si>
  <si>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</si>
  <si>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</si>
  <si>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</si>
  <si>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</si>
  <si>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</si>
  <si>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</si>
  <si>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</si>
  <si>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</si>
  <si>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</si>
  <si>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</si>
  <si>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Customer Id</t>
  </si>
  <si>
    <t>Customer Name</t>
  </si>
  <si>
    <t>Total Sales</t>
  </si>
  <si>
    <t>Region wise Total Sales</t>
  </si>
  <si>
    <t>Products</t>
  </si>
  <si>
    <t>Total Sales Product Wise</t>
  </si>
  <si>
    <t>Total Sales Category Wise</t>
  </si>
  <si>
    <t xml:space="preserve">Payment Method </t>
  </si>
  <si>
    <t>Total SalesThrough Payment Method</t>
  </si>
  <si>
    <t>Total</t>
  </si>
  <si>
    <t>Scenario Manager</t>
  </si>
  <si>
    <t>Input (DISCOUNT)</t>
  </si>
  <si>
    <t>Output ( TOTAL SALES )</t>
  </si>
  <si>
    <t>Sales as per Discount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</si>
</sst>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</numFmts>
  <fonts count="30">
    <font>
      <sz val="11"/>
      <color theme="1"/>
      <name val="Calibri"/>
      <charset val="134"/>
      <scheme val="minor"/>
    </font>
    <font>
      <sz val="16"/>
      <color rgb="FF000000"/>
      <name val="Trebuchet MS"/>
      <charset val="134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mbria"/>
      <charset val="134"/>
    </font>
    <font>
      <b/>
      <sz val="26"/>
      <color rgb="FF000000"/>
      <name val="Microsoft YaHei"/>
      <charset val="134"/>
    </font>
    <font>
      <sz val="28"/>
      <color rgb="FF000000"/>
      <name val="Consolas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67526"/>
      <name val="Calibri"/>
      <charset val="134"/>
    </font>
    <font>
      <sz val="11"/>
      <color rgb="FF38761D"/>
      <name val="Calibri"/>
      <charset val="134"/>
    </font>
  </fonts>
  <fills count="52">
    <fill>
      <patternFill patternType="none"/>
    </fill>
    <fill>
      <patternFill patternType="gray125"/>
    </fill>
    <fill>
      <patternFill patternType="solid">
        <fgColor rgb="FFDAE69A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82353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609C9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0A3C7"/>
        <bgColor indexed="64"/>
      </patternFill>
    </fill>
    <fill>
      <patternFill patternType="solid">
        <fgColor rgb="FF7D9DA1"/>
        <bgColor indexed="64"/>
      </patternFill>
    </fill>
    <fill>
      <patternFill patternType="solid">
        <fgColor rgb="FFDBB17B"/>
        <bgColor indexed="64"/>
      </patternFill>
    </fill>
    <fill>
      <patternFill patternType="solid">
        <fgColor rgb="FFE08C6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2" borderId="10" applyNumberFormat="0" applyAlignment="0" applyProtection="0">
      <alignment vertical="center"/>
    </xf>
    <xf numFmtId="0" fontId="18" fillId="23" borderId="11" applyNumberFormat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24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</cellStyleXfs>
  <cellXfs count="64">
    <xf numFmtId="0" fontId="0" fillId="0" borderId="0" xfId="0" applyFont="1" applyAlignment="1"/>
    <xf numFmtId="2" fontId="0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0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4" fillId="0" borderId="0" xfId="0" applyFont="1" applyAlignment="1"/>
    <xf numFmtId="0" fontId="4" fillId="10" borderId="2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0" fillId="10" borderId="3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7" borderId="3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0" fontId="0" fillId="12" borderId="5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58" fontId="0" fillId="0" borderId="0" xfId="0" applyNumberFormat="1" applyFont="1" applyAlignment="1"/>
    <xf numFmtId="0" fontId="0" fillId="0" borderId="0" xfId="0" applyFont="1" applyAlignment="1">
      <alignment vertical="center"/>
    </xf>
    <xf numFmtId="58" fontId="0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58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5" fillId="18" borderId="0" xfId="0" applyFont="1" applyFill="1" applyAlignment="1">
      <alignment horizontal="center"/>
    </xf>
    <xf numFmtId="0" fontId="0" fillId="0" borderId="0" xfId="0" applyFont="1" applyAlignment="1">
      <alignment horizontal="center" vertical="center" wrapText="1"/>
    </xf>
    <xf numFmtId="58" fontId="0" fillId="0" borderId="0" xfId="0" applyNumberFormat="1" applyFont="1" applyAlignment="1">
      <alignment horizontal="center" vertical="center" wrapText="1"/>
    </xf>
    <xf numFmtId="58" fontId="0" fillId="0" borderId="0" xfId="0" applyNumberFormat="1" applyFont="1" applyAlignment="1">
      <alignment horizontal="center"/>
    </xf>
    <xf numFmtId="0" fontId="0" fillId="0" borderId="0" xfId="0" applyNumberFormat="1" applyFont="1" applyAlignment="1"/>
    <xf numFmtId="0" fontId="6" fillId="19" borderId="6" xfId="0" applyFont="1" applyFill="1" applyBorder="1" applyAlignment="1">
      <alignment horizontal="center"/>
    </xf>
    <xf numFmtId="0" fontId="6" fillId="19" borderId="0" xfId="0" applyFont="1" applyFill="1" applyBorder="1" applyAlignment="1">
      <alignment horizontal="center"/>
    </xf>
    <xf numFmtId="0" fontId="0" fillId="19" borderId="0" xfId="0" applyFont="1" applyFill="1" applyAlignment="1"/>
    <xf numFmtId="0" fontId="7" fillId="20" borderId="1" xfId="0" applyFont="1" applyFill="1" applyBorder="1" applyAlignment="1">
      <alignment horizontal="center"/>
    </xf>
    <xf numFmtId="0" fontId="8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58" formatCode="dd/mm/yyyy"/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176" formatCode="yyyy\-mm\-dd"/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F0A3C7"/>
      <color rgb="00DBB17B"/>
      <color rgb="007D9DA1"/>
      <color rgb="0082353C"/>
      <color rgb="00DAE69A"/>
      <color rgb="00E08C6E"/>
      <color rgb="00609C95"/>
      <color rgb="00517D7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Analysis.xlsx]Quantity by Region!PivotTable1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en-US">
                <a:solidFill>
                  <a:sysClr val="windowText" lastClr="000000"/>
                </a:solidFill>
              </a:rPr>
              <a:t>'Quantity' by 'Region'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40462224101182"/>
          <c:y val="0.0498338870431894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'Quantity by Region'!$B$3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'Quantity by Region'!$B$4:$B$9</c:f>
              <c:numCache>
                <c:formatCode>General</c:formatCode>
                <c:ptCount val="5"/>
                <c:pt idx="0">
                  <c:v>166</c:v>
                </c:pt>
                <c:pt idx="1">
                  <c:v>161</c:v>
                </c:pt>
                <c:pt idx="2">
                  <c:v>169</c:v>
                </c:pt>
                <c:pt idx="3">
                  <c:v>125</c:v>
                </c:pt>
                <c:pt idx="4">
                  <c:v>132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745371593651"/>
          <c:y val="0.350973221370585"/>
          <c:w val="0.186893785927766"/>
          <c:h val="0.507618524428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aa2a37-78d5-430b-bef3-07c3e9123768}"/>
      </c:ext>
    </c:extLst>
  </c:chart>
  <c:spPr>
    <a:solidFill>
      <a:srgbClr val="D8E4B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Analysis.xlsx]Customer Segment by Sales!PivotTable2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/>
                <a:ea typeface="Arial Black" panose="020B0A04020102020204"/>
                <a:cs typeface="Arial Black" panose="020B0A04020102020204"/>
              </a:defRPr>
            </a:pPr>
            <a:r>
              <a:rPr lang="en-US">
                <a:solidFill>
                  <a:sysClr val="windowText" lastClr="000000"/>
                </a:solidFill>
              </a:rPr>
              <a:t>'Sales' by 'Customer_Segment'</a:t>
            </a:r>
            <a:endParaRPr lang="en-US">
              <a:solidFill>
                <a:sysClr val="windowText" lastClr="000000"/>
              </a:solidFill>
            </a:endParaRPr>
          </a:p>
        </c:rich>
      </c:tx>
      <c:layout/>
      <c:overlay val="0"/>
      <c:spPr>
        <a:solidFill>
          <a:schemeClr val="accent1">
            <a:lumMod val="40000"/>
            <a:lumOff val="60000"/>
          </a:schemeClr>
        </a:solidFill>
        <a:ln>
          <a:solidFill>
            <a:srgbClr val="000000"/>
          </a:solidFill>
          <a:prstDash val="solid"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Segment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algun Gothic" panose="020B0503020000020004" charset="-127"/>
                    <a:ea typeface="Malgun Gothic" panose="020B0503020000020004" charset="-127"/>
                    <a:cs typeface="Malgun Gothic" panose="020B0503020000020004" charset="-127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 by Sales'!$A$4:$A$7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'Customer Segment by Sales'!$B$4:$B$7</c:f>
              <c:numCache>
                <c:formatCode>General</c:formatCode>
                <c:ptCount val="3"/>
                <c:pt idx="0">
                  <c:v>8338.74</c:v>
                </c:pt>
                <c:pt idx="1">
                  <c:v>171756.05</c:v>
                </c:pt>
                <c:pt idx="2">
                  <c:v>49097.68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46592141721"/>
          <c:y val="0.425843904928551"/>
          <c:w val="0.209665087367291"/>
          <c:h val="0.2847714348206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be7581-44fc-4c3e-aaff-a472e5fd5828}"/>
      </c:ext>
    </c:extLst>
  </c:chart>
  <c:spPr>
    <a:solidFill>
      <a:srgbClr val="D8E4B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Analysis.xlsx]Sales by Region!PivotTable1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'Sales by Region'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49511890861551"/>
          <c:y val="0.0234113712374582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solidFill>
            <a:srgbClr val="000000"/>
          </a:solidFill>
          <a:prstDash val="solid"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A96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'Sales by Region'!$B$4:$B$9</c:f>
              <c:numCache>
                <c:formatCode>General</c:formatCode>
                <c:ptCount val="5"/>
                <c:pt idx="0">
                  <c:v>41288.34</c:v>
                </c:pt>
                <c:pt idx="1">
                  <c:v>59288.39</c:v>
                </c:pt>
                <c:pt idx="2">
                  <c:v>50808.31</c:v>
                </c:pt>
                <c:pt idx="3">
                  <c:v>36398.75</c:v>
                </c:pt>
                <c:pt idx="4">
                  <c:v>41408.68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3"/>
        <c:overlap val="-30"/>
        <c:axId val="946995208"/>
        <c:axId val="946997256"/>
      </c:barChart>
      <c:catAx>
        <c:axId val="946995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6997256"/>
        <c:crosses val="autoZero"/>
        <c:auto val="1"/>
        <c:lblAlgn val="ctr"/>
        <c:lblOffset val="100"/>
        <c:noMultiLvlLbl val="0"/>
      </c:catAx>
      <c:valAx>
        <c:axId val="94699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6995208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0776686313032089"/>
                <c:y val="0.368026755852843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>
                <a:spAutoFit/>
              </a:bodyPr>
              <a:lstStyle/>
              <a:p>
                <a:pPr>
                  <a:defRPr lang="en-GB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c9fd89-18cd-4e38-8a1e-c15dbf606761}"/>
      </c:ext>
    </c:extLst>
  </c:chart>
  <c:spPr>
    <a:solidFill>
      <a:srgbClr val="D8E4B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Analysis.xlsx]Sales of Product!PivotTable2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'Sales' by 'Product_Name'</a:t>
            </a:r>
            <a:endParaRPr lang="en-US">
              <a:solidFill>
                <a:sysClr val="windowText" lastClr="000000"/>
              </a:solidFill>
            </a:endParaRPr>
          </a:p>
        </c:rich>
      </c:tx>
      <c:layout/>
      <c:overlay val="0"/>
      <c:spPr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of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A96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of Product'!$A$4:$A$14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'Sales of Product'!$B$4:$B$14</c:f>
              <c:numCache>
                <c:formatCode>General</c:formatCode>
                <c:ptCount val="10"/>
                <c:pt idx="0">
                  <c:v>5219.13</c:v>
                </c:pt>
                <c:pt idx="1">
                  <c:v>15298.98</c:v>
                </c:pt>
                <c:pt idx="2">
                  <c:v>3119.61</c:v>
                </c:pt>
                <c:pt idx="3">
                  <c:v>23399.22</c:v>
                </c:pt>
                <c:pt idx="4">
                  <c:v>7049.53</c:v>
                </c:pt>
                <c:pt idx="5">
                  <c:v>8009.11</c:v>
                </c:pt>
                <c:pt idx="6">
                  <c:v>67499.25</c:v>
                </c:pt>
                <c:pt idx="7">
                  <c:v>21999.12</c:v>
                </c:pt>
                <c:pt idx="8">
                  <c:v>10399.48</c:v>
                </c:pt>
                <c:pt idx="9">
                  <c:v>67199.04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963667464"/>
        <c:axId val="967180808"/>
      </c:barChart>
      <c:catAx>
        <c:axId val="963667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Product_Name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7180808"/>
        <c:crosses val="autoZero"/>
        <c:auto val="1"/>
        <c:lblAlgn val="ctr"/>
        <c:lblOffset val="100"/>
        <c:noMultiLvlLbl val="0"/>
      </c:catAx>
      <c:valAx>
        <c:axId val="96718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124935995903738"/>
              <c:y val="0.32683127572016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3667464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0444582028822364"/>
                <c:y val="0.300534979423868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>
                <a:spAutoFit/>
              </a:bodyPr>
              <a:lstStyle/>
              <a:p>
                <a:pPr>
                  <a:defRPr lang="en-GB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6b9451-1907-40d2-9705-e6852fe43fb6}"/>
      </c:ext>
    </c:extLst>
  </c:chart>
  <c:spPr>
    <a:solidFill>
      <a:srgbClr val="D8E4B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Analysis.xlsx]Quantity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en-US"/>
              <a:t>'Quantity' by 'Region'</a:t>
            </a:r>
            <a:endParaRPr lang="en-US"/>
          </a:p>
        </c:rich>
      </c:tx>
      <c:layout>
        <c:manualLayout>
          <c:xMode val="edge"/>
          <c:yMode val="edge"/>
          <c:x val="0.240462224101182"/>
          <c:y val="0.04983388704318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'Quantity by Region'!$B$3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'Quantity by Region'!$B$4:$B$9</c:f>
              <c:numCache>
                <c:formatCode>General</c:formatCode>
                <c:ptCount val="5"/>
                <c:pt idx="0">
                  <c:v>166</c:v>
                </c:pt>
                <c:pt idx="1">
                  <c:v>161</c:v>
                </c:pt>
                <c:pt idx="2">
                  <c:v>169</c:v>
                </c:pt>
                <c:pt idx="3">
                  <c:v>125</c:v>
                </c:pt>
                <c:pt idx="4">
                  <c:v>132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745371593651"/>
          <c:y val="0.350973221370585"/>
          <c:w val="0.186893785927766"/>
          <c:h val="0.507618524428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e004ae-5371-42a7-a0ed-67b7aa105b8b}"/>
      </c:ext>
    </c:extLst>
  </c:chart>
  <c:spPr>
    <a:solidFill>
      <a:srgbClr val="EBF1D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Analysis.xlsx]Customer Segment by Sales!PivotTable2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/>
                <a:ea typeface="Arial Black" panose="020B0A04020102020204"/>
                <a:cs typeface="Arial Black" panose="020B0A04020102020204"/>
              </a:defRPr>
            </a:pPr>
            <a:r>
              <a:rPr lang="en-US"/>
              <a:t>'Sales' by 'Customer_Segment'</a:t>
            </a:r>
            <a:endParaRPr lang="en-US"/>
          </a:p>
        </c:rich>
      </c:tx>
      <c:layout/>
      <c:overlay val="0"/>
      <c:spPr>
        <a:noFill/>
        <a:ln>
          <a:solidFill>
            <a:srgbClr val="000000"/>
          </a:solidFill>
          <a:prstDash val="solid"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Segment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algun Gothic" panose="020B0503020000020004" charset="-127"/>
                    <a:ea typeface="Malgun Gothic" panose="020B0503020000020004" charset="-127"/>
                    <a:cs typeface="Malgun Gothic" panose="020B0503020000020004" charset="-127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 by Sales'!$A$4:$A$7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'Customer Segment by Sales'!$B$4:$B$7</c:f>
              <c:numCache>
                <c:formatCode>General</c:formatCode>
                <c:ptCount val="3"/>
                <c:pt idx="0">
                  <c:v>8338.74</c:v>
                </c:pt>
                <c:pt idx="1">
                  <c:v>171756.05</c:v>
                </c:pt>
                <c:pt idx="2">
                  <c:v>49097.68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46592141721"/>
          <c:y val="0.425843904928551"/>
          <c:w val="0.209665087367291"/>
          <c:h val="0.2847714348206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2d2fbb-ffd0-482a-a1db-85a4c5e7ae95}"/>
      </c:ext>
    </c:extLst>
  </c:chart>
  <c:spPr>
    <a:solidFill>
      <a:srgbClr val="EBF1D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 by Region'</a:t>
            </a:r>
            <a:endParaRPr lang="en-US"/>
          </a:p>
        </c:rich>
      </c:tx>
      <c:layout>
        <c:manualLayout>
          <c:xMode val="edge"/>
          <c:yMode val="edge"/>
          <c:x val="0.349511890861551"/>
          <c:y val="0.0234113712374582"/>
        </c:manualLayout>
      </c:layout>
      <c:overlay val="0"/>
      <c:spPr>
        <a:noFill/>
        <a:ln>
          <a:solidFill>
            <a:srgbClr val="000000"/>
          </a:solidFill>
          <a:prstDash val="solid"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A96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'Sales by Region'!$B$4:$B$9</c:f>
              <c:numCache>
                <c:formatCode>General</c:formatCode>
                <c:ptCount val="5"/>
                <c:pt idx="0">
                  <c:v>41288.34</c:v>
                </c:pt>
                <c:pt idx="1">
                  <c:v>59288.39</c:v>
                </c:pt>
                <c:pt idx="2">
                  <c:v>50808.31</c:v>
                </c:pt>
                <c:pt idx="3">
                  <c:v>36398.75</c:v>
                </c:pt>
                <c:pt idx="4">
                  <c:v>41408.68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3"/>
        <c:overlap val="-30"/>
        <c:axId val="946995208"/>
        <c:axId val="946997256"/>
      </c:barChart>
      <c:catAx>
        <c:axId val="946995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6997256"/>
        <c:crosses val="autoZero"/>
        <c:auto val="1"/>
        <c:lblAlgn val="ctr"/>
        <c:lblOffset val="100"/>
        <c:noMultiLvlLbl val="0"/>
      </c:catAx>
      <c:valAx>
        <c:axId val="94699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6995208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>
                <a:spAutoFit/>
              </a:bodyPr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20ec5f4-9b15-4843-86c8-cc7dfdb1e5af}"/>
      </c:ext>
    </c:extLst>
  </c:chart>
  <c:spPr>
    <a:solidFill>
      <a:srgbClr val="D8E4B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Analysis.xlsx]Sales of Product!PivotTable2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by 'Product_Name'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of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A96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of Product'!$A$4:$A$14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'Sales of Product'!$B$4:$B$14</c:f>
              <c:numCache>
                <c:formatCode>General</c:formatCode>
                <c:ptCount val="10"/>
                <c:pt idx="0">
                  <c:v>5219.13</c:v>
                </c:pt>
                <c:pt idx="1">
                  <c:v>15298.98</c:v>
                </c:pt>
                <c:pt idx="2">
                  <c:v>3119.61</c:v>
                </c:pt>
                <c:pt idx="3">
                  <c:v>23399.22</c:v>
                </c:pt>
                <c:pt idx="4">
                  <c:v>7049.53</c:v>
                </c:pt>
                <c:pt idx="5">
                  <c:v>8009.11</c:v>
                </c:pt>
                <c:pt idx="6">
                  <c:v>67499.25</c:v>
                </c:pt>
                <c:pt idx="7">
                  <c:v>21999.12</c:v>
                </c:pt>
                <c:pt idx="8">
                  <c:v>10399.48</c:v>
                </c:pt>
                <c:pt idx="9">
                  <c:v>67199.04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963667464"/>
        <c:axId val="967180808"/>
      </c:barChart>
      <c:catAx>
        <c:axId val="963667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Product_Name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7180808"/>
        <c:crosses val="autoZero"/>
        <c:auto val="1"/>
        <c:lblAlgn val="ctr"/>
        <c:lblOffset val="100"/>
        <c:noMultiLvlLbl val="0"/>
      </c:catAx>
      <c:valAx>
        <c:axId val="96718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3667464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>
                <a:spAutoFit/>
              </a:bodyPr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cbca553-88df-44c6-839d-37e69f00a032}"/>
      </c:ext>
    </c:extLst>
  </c:chart>
  <c:spPr>
    <a:solidFill>
      <a:srgbClr val="D8E4B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47625</xdr:rowOff>
    </xdr:from>
    <xdr:to>
      <xdr:col>6</xdr:col>
      <xdr:colOff>514350</xdr:colOff>
      <xdr:row>18</xdr:row>
      <xdr:rowOff>57150</xdr:rowOff>
    </xdr:to>
    <xdr:graphicFrame>
      <xdr:nvGraphicFramePr>
        <xdr:cNvPr id="2" name="Chart 1" descr="Chart type: Doughnut. 'Quantity' by 'Region'&#10;&#10;Description automatically generated"/>
        <xdr:cNvGraphicFramePr/>
      </xdr:nvGraphicFramePr>
      <xdr:xfrm>
        <a:off x="0" y="619125"/>
        <a:ext cx="4114800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3</xdr:row>
      <xdr:rowOff>66675</xdr:rowOff>
    </xdr:from>
    <xdr:to>
      <xdr:col>15</xdr:col>
      <xdr:colOff>495300</xdr:colOff>
      <xdr:row>17</xdr:row>
      <xdr:rowOff>123825</xdr:rowOff>
    </xdr:to>
    <xdr:graphicFrame>
      <xdr:nvGraphicFramePr>
        <xdr:cNvPr id="3" name="Chart 2" descr="Chart type: Pie. 'Sales' by 'Customer_Segment'&#10;&#10;Description automatically generated"/>
        <xdr:cNvGraphicFramePr/>
      </xdr:nvGraphicFramePr>
      <xdr:xfrm>
        <a:off x="6124575" y="638175"/>
        <a:ext cx="4895850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28575</xdr:rowOff>
    </xdr:from>
    <xdr:to>
      <xdr:col>7</xdr:col>
      <xdr:colOff>581025</xdr:colOff>
      <xdr:row>33</xdr:row>
      <xdr:rowOff>19050</xdr:rowOff>
    </xdr:to>
    <xdr:graphicFrame>
      <xdr:nvGraphicFramePr>
        <xdr:cNvPr id="4" name="Chart 3" descr="Chart type: Clustered Column. 'Sales' by 'Region'&#10;&#10;Description automatically generated"/>
        <xdr:cNvGraphicFramePr/>
      </xdr:nvGraphicFramePr>
      <xdr:xfrm>
        <a:off x="0" y="3457575"/>
        <a:ext cx="4781550" cy="2847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</xdr:colOff>
      <xdr:row>19</xdr:row>
      <xdr:rowOff>66675</xdr:rowOff>
    </xdr:from>
    <xdr:to>
      <xdr:col>18</xdr:col>
      <xdr:colOff>314325</xdr:colOff>
      <xdr:row>35</xdr:row>
      <xdr:rowOff>104775</xdr:rowOff>
    </xdr:to>
    <xdr:graphicFrame>
      <xdr:nvGraphicFramePr>
        <xdr:cNvPr id="5" name="Chart 4" descr="Chart type: Clustered Column. 'Sales' by 'Product_Name'&#10;&#10;Description automatically generated"/>
        <xdr:cNvGraphicFramePr/>
      </xdr:nvGraphicFramePr>
      <xdr:xfrm>
        <a:off x="6800850" y="3686175"/>
        <a:ext cx="6200775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1019175</xdr:colOff>
      <xdr:row>1</xdr:row>
      <xdr:rowOff>171450</xdr:rowOff>
    </xdr:from>
    <xdr:to>
      <xdr:col>8</xdr:col>
      <xdr:colOff>590550</xdr:colOff>
      <xdr:row>16</xdr:row>
      <xdr:rowOff>180975</xdr:rowOff>
    </xdr:to>
    <xdr:graphicFrame>
      <xdr:nvGraphicFramePr>
        <xdr:cNvPr id="2" name="Chart 1" descr="Chart type: Doughnut. 'Quantity' by 'Region'&#10;&#10;Description automatically generated"/>
        <xdr:cNvGraphicFramePr/>
      </xdr:nvGraphicFramePr>
      <xdr:xfrm>
        <a:off x="1771650" y="361950"/>
        <a:ext cx="4200525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19050</xdr:colOff>
      <xdr:row>0</xdr:row>
      <xdr:rowOff>171450</xdr:rowOff>
    </xdr:from>
    <xdr:to>
      <xdr:col>9</xdr:col>
      <xdr:colOff>0</xdr:colOff>
      <xdr:row>16</xdr:row>
      <xdr:rowOff>38100</xdr:rowOff>
    </xdr:to>
    <xdr:graphicFrame>
      <xdr:nvGraphicFramePr>
        <xdr:cNvPr id="3" name="Chart 2" descr="Chart type: Pie. 'Sales' by 'Customer_Segment'&#10;&#10;Description automatically generated"/>
        <xdr:cNvGraphicFramePr/>
      </xdr:nvGraphicFramePr>
      <xdr:xfrm>
        <a:off x="1581150" y="171450"/>
        <a:ext cx="4391025" cy="2914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9525</xdr:colOff>
      <xdr:row>1</xdr:row>
      <xdr:rowOff>180975</xdr:rowOff>
    </xdr:from>
    <xdr:to>
      <xdr:col>7</xdr:col>
      <xdr:colOff>714375</xdr:colOff>
      <xdr:row>16</xdr:row>
      <xdr:rowOff>171450</xdr:rowOff>
    </xdr:to>
    <xdr:graphicFrame>
      <xdr:nvGraphicFramePr>
        <xdr:cNvPr id="2" name="Chart 1" descr="Chart type: Clustered Column. 'Sales' by 'Region'&#10;&#10;Description automatically generated"/>
        <xdr:cNvGraphicFramePr/>
      </xdr:nvGraphicFramePr>
      <xdr:xfrm>
        <a:off x="1571625" y="371475"/>
        <a:ext cx="5010150" cy="2847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1</xdr:row>
      <xdr:rowOff>180975</xdr:rowOff>
    </xdr:from>
    <xdr:to>
      <xdr:col>10</xdr:col>
      <xdr:colOff>600075</xdr:colOff>
      <xdr:row>18</xdr:row>
      <xdr:rowOff>28575</xdr:rowOff>
    </xdr:to>
    <xdr:graphicFrame>
      <xdr:nvGraphicFramePr>
        <xdr:cNvPr id="3" name="Chart 2" descr="Chart type: Clustered Column. 'Sales' by 'Product_Name'&#10;&#10;Description automatically generated"/>
        <xdr:cNvGraphicFramePr/>
      </xdr:nvGraphicFramePr>
      <xdr:xfrm>
        <a:off x="1914525" y="371475"/>
        <a:ext cx="5591175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12.6943186343" refreshedBy="Excel Services" recordCount="250">
  <cacheSource type="worksheet">
    <worksheetSource name="Table1"/>
  </cacheSource>
  <cacheFields count="16">
    <cacheField name="Transaction_ID" numFmtId="0"/>
    <cacheField name="Date" numFmtId="58">
      <sharedItems containsSemiMixedTypes="0" containsString="0" containsNonDate="0" containsDate="1" minDate="2024-04-11T00:00:00" maxDate="2025-04-11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  <fieldGroup base="1">
        <rangePr groupBy="months" startDate="2024-04-11T00:00:00" endDate="2025-04-12T00:00:00" groupInterval="1"/>
        <groupItems count="14">
          <s v="&lt;11/04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04/2025"/>
        </groupItems>
      </fieldGroup>
    </cacheField>
    <cacheField name="Customer_ID" numFmtId="0"/>
    <cacheField name="Customer_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Product_ID" numFmtId="0"/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/>
    <cacheField name="Unit_Price" numFmtId="0"/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 count="3">
        <s v="Basic"/>
        <s v="Premium"/>
        <s v="Standard"/>
      </sharedItems>
    </cacheField>
    <cacheField name="Customer_Since" numFmtId="176"/>
    <cacheField name="Sales" numFmtId="0"/>
    <cacheField name="Quarters" numFmtId="0" databaseField="0">
      <fieldGroup base="1">
        <rangePr groupBy="quarters" startDate="2024-04-11T00:00:00" endDate="2025-04-12T00:00:00" groupInterval="1"/>
        <groupItems count="6">
          <s v="&lt;11/04/2024"/>
          <s v="Qtr1"/>
          <s v="Qtr2"/>
          <s v="Qtr3"/>
          <s v="Qtr4"/>
          <s v="&gt;12/04/2025"/>
        </groupItems>
      </fieldGroup>
    </cacheField>
    <cacheField name="Years" numFmtId="0" databaseField="0">
      <fieldGroup base="1">
        <rangePr groupBy="years" startDate="2024-04-11T00:00:00" endDate="2025-04-12T00:00:00" groupInterval="1"/>
        <groupItems count="4">
          <s v="&lt;11/04/2024"/>
          <s v="2024"/>
          <s v="2025"/>
          <s v="&gt;12/04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s v="TRX0155"/>
    <x v="0"/>
    <s v="CUST023"/>
    <x v="0"/>
    <s v="P009"/>
    <x v="0"/>
    <x v="0"/>
    <n v="3"/>
    <n v="249.99"/>
    <x v="0"/>
    <x v="0"/>
    <x v="0"/>
    <d v="2021-08-17T00:00:00"/>
    <n v="749.97"/>
  </r>
  <r>
    <s v="TRX0023"/>
    <x v="1"/>
    <s v="CUST013"/>
    <x v="1"/>
    <s v="P009"/>
    <x v="0"/>
    <x v="0"/>
    <n v="3"/>
    <n v="249.99"/>
    <x v="1"/>
    <x v="0"/>
    <x v="1"/>
    <d v="2022-01-14T00:00:00"/>
    <n v="749.97"/>
  </r>
  <r>
    <s v="TRX0139"/>
    <x v="2"/>
    <s v="CUST021"/>
    <x v="2"/>
    <s v="P005"/>
    <x v="1"/>
    <x v="1"/>
    <n v="3"/>
    <n v="59.99"/>
    <x v="2"/>
    <x v="1"/>
    <x v="2"/>
    <d v="2023-12-02T00:00:00"/>
    <n v="179.97"/>
  </r>
  <r>
    <s v="TRX0043"/>
    <x v="3"/>
    <s v="CUST046"/>
    <x v="3"/>
    <s v="P005"/>
    <x v="1"/>
    <x v="1"/>
    <n v="3"/>
    <n v="59.99"/>
    <x v="0"/>
    <x v="2"/>
    <x v="1"/>
    <d v="2023-07-07T00:00:00"/>
    <n v="179.97"/>
  </r>
  <r>
    <s v="TRX0212"/>
    <x v="3"/>
    <s v="CUST003"/>
    <x v="4"/>
    <s v="P008"/>
    <x v="2"/>
    <x v="2"/>
    <n v="5"/>
    <n v="149.99"/>
    <x v="1"/>
    <x v="2"/>
    <x v="1"/>
    <d v="2024-01-04T00:00:00"/>
    <n v="749.95"/>
  </r>
  <r>
    <s v="TRX0092"/>
    <x v="4"/>
    <s v="CUST024"/>
    <x v="5"/>
    <s v="P005"/>
    <x v="1"/>
    <x v="1"/>
    <n v="2"/>
    <n v="59.99"/>
    <x v="0"/>
    <x v="3"/>
    <x v="2"/>
    <d v="2022-07-04T00:00:00"/>
    <n v="119.98"/>
  </r>
  <r>
    <s v="TRX0193"/>
    <x v="4"/>
    <s v="CUST024"/>
    <x v="5"/>
    <s v="P003"/>
    <x v="3"/>
    <x v="0"/>
    <n v="5"/>
    <n v="149.99"/>
    <x v="1"/>
    <x v="0"/>
    <x v="2"/>
    <d v="2021-08-10T00:00:00"/>
    <n v="749.95"/>
  </r>
  <r>
    <s v="TRX0240"/>
    <x v="4"/>
    <s v="CUST017"/>
    <x v="6"/>
    <s v="P005"/>
    <x v="1"/>
    <x v="1"/>
    <n v="3"/>
    <n v="59.99"/>
    <x v="3"/>
    <x v="1"/>
    <x v="0"/>
    <d v="2023-03-22T00:00:00"/>
    <n v="179.97"/>
  </r>
  <r>
    <s v="TRX0135"/>
    <x v="5"/>
    <s v="CUST009"/>
    <x v="7"/>
    <s v="P001"/>
    <x v="4"/>
    <x v="0"/>
    <n v="3"/>
    <n v="899.99"/>
    <x v="2"/>
    <x v="4"/>
    <x v="2"/>
    <d v="2024-01-08T00:00:00"/>
    <n v="2699.97"/>
  </r>
  <r>
    <s v="TRX0185"/>
    <x v="6"/>
    <s v="CUST026"/>
    <x v="8"/>
    <s v="P005"/>
    <x v="1"/>
    <x v="1"/>
    <n v="3"/>
    <n v="59.99"/>
    <x v="0"/>
    <x v="3"/>
    <x v="1"/>
    <d v="2023-10-08T00:00:00"/>
    <n v="179.97"/>
  </r>
  <r>
    <s v="TRX0138"/>
    <x v="6"/>
    <s v="CUST022"/>
    <x v="9"/>
    <s v="P008"/>
    <x v="2"/>
    <x v="2"/>
    <n v="1"/>
    <n v="149.99"/>
    <x v="1"/>
    <x v="3"/>
    <x v="2"/>
    <d v="2023-06-26T00:00:00"/>
    <n v="149.99"/>
  </r>
  <r>
    <s v="TRX0209"/>
    <x v="6"/>
    <s v="CUST046"/>
    <x v="3"/>
    <s v="P008"/>
    <x v="2"/>
    <x v="2"/>
    <n v="5"/>
    <n v="149.99"/>
    <x v="3"/>
    <x v="2"/>
    <x v="0"/>
    <d v="2022-09-26T00:00:00"/>
    <n v="749.95"/>
  </r>
  <r>
    <s v="TRX0246"/>
    <x v="6"/>
    <s v="CUST041"/>
    <x v="10"/>
    <s v="P008"/>
    <x v="2"/>
    <x v="2"/>
    <n v="3"/>
    <n v="149.99"/>
    <x v="0"/>
    <x v="2"/>
    <x v="1"/>
    <d v="2022-09-02T00:00:00"/>
    <n v="449.97"/>
  </r>
  <r>
    <s v="TRX0067"/>
    <x v="7"/>
    <s v="CUST043"/>
    <x v="11"/>
    <s v="P005"/>
    <x v="1"/>
    <x v="1"/>
    <n v="3"/>
    <n v="59.99"/>
    <x v="1"/>
    <x v="2"/>
    <x v="2"/>
    <d v="2024-02-29T00:00:00"/>
    <n v="179.97"/>
  </r>
  <r>
    <s v="TRX0191"/>
    <x v="7"/>
    <s v="CUST038"/>
    <x v="12"/>
    <s v="P002"/>
    <x v="5"/>
    <x v="0"/>
    <n v="3"/>
    <n v="699.99"/>
    <x v="1"/>
    <x v="3"/>
    <x v="0"/>
    <d v="2022-01-16T00:00:00"/>
    <n v="2099.9699999999998"/>
  </r>
  <r>
    <s v="TRX0230"/>
    <x v="7"/>
    <s v="CUST027"/>
    <x v="13"/>
    <s v="P001"/>
    <x v="4"/>
    <x v="0"/>
    <n v="1"/>
    <n v="899.99"/>
    <x v="3"/>
    <x v="2"/>
    <x v="2"/>
    <d v="2022-12-25T00:00:00"/>
    <n v="899.99"/>
  </r>
  <r>
    <s v="TRX0049"/>
    <x v="8"/>
    <s v="CUST025"/>
    <x v="14"/>
    <s v="P008"/>
    <x v="2"/>
    <x v="2"/>
    <n v="4"/>
    <n v="149.99"/>
    <x v="3"/>
    <x v="2"/>
    <x v="1"/>
    <d v="2024-03-23T00:00:00"/>
    <n v="599.96"/>
  </r>
  <r>
    <s v="TRX0134"/>
    <x v="8"/>
    <s v="CUST010"/>
    <x v="15"/>
    <s v="P002"/>
    <x v="5"/>
    <x v="0"/>
    <n v="2"/>
    <n v="699.99"/>
    <x v="0"/>
    <x v="2"/>
    <x v="0"/>
    <d v="2022-08-08T00:00:00"/>
    <n v="1399.98"/>
  </r>
  <r>
    <s v="TRX0122"/>
    <x v="8"/>
    <s v="CUST025"/>
    <x v="14"/>
    <s v="P001"/>
    <x v="4"/>
    <x v="0"/>
    <n v="4"/>
    <n v="899.99"/>
    <x v="1"/>
    <x v="3"/>
    <x v="2"/>
    <d v="2024-02-05T00:00:00"/>
    <n v="3599.96"/>
  </r>
  <r>
    <s v="TRX0222"/>
    <x v="8"/>
    <s v="CUST048"/>
    <x v="16"/>
    <s v="P009"/>
    <x v="0"/>
    <x v="0"/>
    <n v="3"/>
    <n v="249.99"/>
    <x v="1"/>
    <x v="2"/>
    <x v="1"/>
    <d v="2023-10-25T00:00:00"/>
    <n v="749.97"/>
  </r>
  <r>
    <s v="TRX0231"/>
    <x v="9"/>
    <s v="CUST018"/>
    <x v="17"/>
    <s v="P002"/>
    <x v="5"/>
    <x v="0"/>
    <n v="5"/>
    <n v="699.99"/>
    <x v="0"/>
    <x v="3"/>
    <x v="0"/>
    <d v="2023-08-29T00:00:00"/>
    <n v="3499.95"/>
  </r>
  <r>
    <s v="TRX0239"/>
    <x v="10"/>
    <s v="CUST012"/>
    <x v="18"/>
    <s v="P002"/>
    <x v="5"/>
    <x v="0"/>
    <n v="4"/>
    <n v="699.99"/>
    <x v="0"/>
    <x v="4"/>
    <x v="2"/>
    <d v="2021-08-01T00:00:00"/>
    <n v="2799.96"/>
  </r>
  <r>
    <s v="TRX0204"/>
    <x v="11"/>
    <s v="CUST044"/>
    <x v="19"/>
    <s v="P009"/>
    <x v="0"/>
    <x v="0"/>
    <n v="4"/>
    <n v="249.99"/>
    <x v="2"/>
    <x v="2"/>
    <x v="2"/>
    <d v="2021-09-29T00:00:00"/>
    <n v="999.96"/>
  </r>
  <r>
    <s v="TRX0242"/>
    <x v="12"/>
    <s v="CUST025"/>
    <x v="14"/>
    <s v="P007"/>
    <x v="6"/>
    <x v="2"/>
    <n v="4"/>
    <n v="299.99"/>
    <x v="0"/>
    <x v="3"/>
    <x v="1"/>
    <d v="2022-06-04T00:00:00"/>
    <n v="1199.96"/>
  </r>
  <r>
    <s v="TRX0071"/>
    <x v="13"/>
    <s v="CUST036"/>
    <x v="20"/>
    <s v="P009"/>
    <x v="0"/>
    <x v="0"/>
    <n v="5"/>
    <n v="249.99"/>
    <x v="1"/>
    <x v="3"/>
    <x v="2"/>
    <d v="2021-11-25T00:00:00"/>
    <n v="1249.95"/>
  </r>
  <r>
    <s v="TRX0040"/>
    <x v="14"/>
    <s v="CUST022"/>
    <x v="9"/>
    <s v="P007"/>
    <x v="6"/>
    <x v="2"/>
    <n v="5"/>
    <n v="299.99"/>
    <x v="2"/>
    <x v="4"/>
    <x v="0"/>
    <d v="2023-08-30T00:00:00"/>
    <n v="1499.95"/>
  </r>
  <r>
    <s v="TRX0235"/>
    <x v="14"/>
    <s v="CUST014"/>
    <x v="21"/>
    <s v="P004"/>
    <x v="7"/>
    <x v="1"/>
    <n v="3"/>
    <n v="79.989999999999995"/>
    <x v="2"/>
    <x v="4"/>
    <x v="1"/>
    <d v="2023-03-27T00:00:00"/>
    <n v="239.97"/>
  </r>
  <r>
    <s v="TRX0004"/>
    <x v="14"/>
    <s v="CUST012"/>
    <x v="18"/>
    <s v="P010"/>
    <x v="8"/>
    <x v="0"/>
    <n v="5"/>
    <n v="89.99"/>
    <x v="0"/>
    <x v="2"/>
    <x v="1"/>
    <d v="2022-12-24T00:00:00"/>
    <n v="449.95"/>
  </r>
  <r>
    <s v="TRX0063"/>
    <x v="15"/>
    <s v="CUST030"/>
    <x v="22"/>
    <s v="P005"/>
    <x v="1"/>
    <x v="1"/>
    <n v="2"/>
    <n v="59.99"/>
    <x v="3"/>
    <x v="0"/>
    <x v="2"/>
    <d v="2023-10-15T00:00:00"/>
    <n v="119.98"/>
  </r>
  <r>
    <s v="TRX0241"/>
    <x v="16"/>
    <s v="CUST029"/>
    <x v="23"/>
    <s v="P005"/>
    <x v="1"/>
    <x v="1"/>
    <n v="4"/>
    <n v="59.99"/>
    <x v="3"/>
    <x v="4"/>
    <x v="2"/>
    <d v="2022-11-02T00:00:00"/>
    <n v="239.96"/>
  </r>
  <r>
    <s v="TRX0029"/>
    <x v="16"/>
    <s v="CUST017"/>
    <x v="6"/>
    <s v="P006"/>
    <x v="9"/>
    <x v="2"/>
    <n v="5"/>
    <n v="199.99"/>
    <x v="0"/>
    <x v="1"/>
    <x v="2"/>
    <d v="2021-08-04T00:00:00"/>
    <n v="999.95"/>
  </r>
  <r>
    <s v="TRX0194"/>
    <x v="17"/>
    <s v="CUST006"/>
    <x v="24"/>
    <s v="P008"/>
    <x v="2"/>
    <x v="2"/>
    <n v="2"/>
    <n v="149.99"/>
    <x v="1"/>
    <x v="3"/>
    <x v="0"/>
    <d v="2022-09-19T00:00:00"/>
    <n v="299.98"/>
  </r>
  <r>
    <s v="TRX0130"/>
    <x v="18"/>
    <s v="CUST002"/>
    <x v="25"/>
    <s v="P008"/>
    <x v="2"/>
    <x v="2"/>
    <n v="3"/>
    <n v="149.99"/>
    <x v="1"/>
    <x v="3"/>
    <x v="1"/>
    <d v="2023-05-22T00:00:00"/>
    <n v="449.97"/>
  </r>
  <r>
    <s v="TRX0041"/>
    <x v="19"/>
    <s v="CUST021"/>
    <x v="2"/>
    <s v="P001"/>
    <x v="4"/>
    <x v="0"/>
    <n v="1"/>
    <n v="899.99"/>
    <x v="1"/>
    <x v="3"/>
    <x v="1"/>
    <d v="2022-01-17T00:00:00"/>
    <n v="899.99"/>
  </r>
  <r>
    <s v="TRX0232"/>
    <x v="20"/>
    <s v="CUST012"/>
    <x v="18"/>
    <s v="P007"/>
    <x v="6"/>
    <x v="2"/>
    <n v="3"/>
    <n v="299.99"/>
    <x v="1"/>
    <x v="4"/>
    <x v="0"/>
    <d v="2022-09-20T00:00:00"/>
    <n v="899.97"/>
  </r>
  <r>
    <s v="TRX0021"/>
    <x v="21"/>
    <s v="CUST006"/>
    <x v="24"/>
    <s v="P004"/>
    <x v="7"/>
    <x v="1"/>
    <n v="3"/>
    <n v="79.989999999999995"/>
    <x v="0"/>
    <x v="1"/>
    <x v="0"/>
    <d v="2023-04-30T00:00:00"/>
    <n v="239.97"/>
  </r>
  <r>
    <s v="TRX0245"/>
    <x v="22"/>
    <s v="CUST031"/>
    <x v="26"/>
    <s v="P006"/>
    <x v="9"/>
    <x v="2"/>
    <n v="3"/>
    <n v="199.99"/>
    <x v="1"/>
    <x v="2"/>
    <x v="1"/>
    <d v="2024-01-01T00:00:00"/>
    <n v="599.97"/>
  </r>
  <r>
    <s v="TRX0015"/>
    <x v="23"/>
    <s v="CUST008"/>
    <x v="27"/>
    <s v="P002"/>
    <x v="5"/>
    <x v="0"/>
    <n v="5"/>
    <n v="699.99"/>
    <x v="2"/>
    <x v="3"/>
    <x v="2"/>
    <d v="2021-07-30T00:00:00"/>
    <n v="3499.95"/>
  </r>
  <r>
    <s v="TRX0202"/>
    <x v="24"/>
    <s v="CUST035"/>
    <x v="28"/>
    <s v="P010"/>
    <x v="8"/>
    <x v="0"/>
    <n v="3"/>
    <n v="89.99"/>
    <x v="2"/>
    <x v="0"/>
    <x v="1"/>
    <d v="2023-07-13T00:00:00"/>
    <n v="269.97000000000003"/>
  </r>
  <r>
    <s v="TRX0042"/>
    <x v="25"/>
    <s v="CUST019"/>
    <x v="29"/>
    <s v="P004"/>
    <x v="7"/>
    <x v="1"/>
    <n v="1"/>
    <n v="79.989999999999995"/>
    <x v="0"/>
    <x v="2"/>
    <x v="2"/>
    <d v="2022-12-22T00:00:00"/>
    <n v="79.989999999999995"/>
  </r>
  <r>
    <s v="TRX0128"/>
    <x v="26"/>
    <s v="CUST040"/>
    <x v="30"/>
    <s v="P005"/>
    <x v="1"/>
    <x v="1"/>
    <n v="2"/>
    <n v="59.99"/>
    <x v="0"/>
    <x v="3"/>
    <x v="0"/>
    <d v="2024-04-08T00:00:00"/>
    <n v="119.98"/>
  </r>
  <r>
    <s v="TRX0117"/>
    <x v="26"/>
    <s v="CUST017"/>
    <x v="6"/>
    <s v="P010"/>
    <x v="8"/>
    <x v="0"/>
    <n v="1"/>
    <n v="89.99"/>
    <x v="0"/>
    <x v="2"/>
    <x v="0"/>
    <d v="2023-08-03T00:00:00"/>
    <n v="89.99"/>
  </r>
  <r>
    <s v="TRX0208"/>
    <x v="27"/>
    <s v="CUST004"/>
    <x v="31"/>
    <s v="P010"/>
    <x v="8"/>
    <x v="0"/>
    <n v="5"/>
    <n v="89.99"/>
    <x v="1"/>
    <x v="4"/>
    <x v="2"/>
    <d v="2022-01-26T00:00:00"/>
    <n v="449.95"/>
  </r>
  <r>
    <s v="TRX0234"/>
    <x v="28"/>
    <s v="CUST013"/>
    <x v="1"/>
    <s v="P009"/>
    <x v="0"/>
    <x v="0"/>
    <n v="5"/>
    <n v="249.99"/>
    <x v="1"/>
    <x v="4"/>
    <x v="2"/>
    <d v="2022-05-26T00:00:00"/>
    <n v="1249.95"/>
  </r>
  <r>
    <s v="TRX0121"/>
    <x v="28"/>
    <s v="CUST028"/>
    <x v="32"/>
    <s v="P010"/>
    <x v="8"/>
    <x v="0"/>
    <n v="1"/>
    <n v="89.99"/>
    <x v="1"/>
    <x v="1"/>
    <x v="2"/>
    <d v="2022-01-21T00:00:00"/>
    <n v="89.99"/>
  </r>
  <r>
    <s v="TRX0220"/>
    <x v="29"/>
    <s v="CUST003"/>
    <x v="4"/>
    <s v="P008"/>
    <x v="2"/>
    <x v="2"/>
    <n v="2"/>
    <n v="149.99"/>
    <x v="0"/>
    <x v="4"/>
    <x v="1"/>
    <d v="2022-03-25T00:00:00"/>
    <n v="299.98"/>
  </r>
  <r>
    <s v="TRX0093"/>
    <x v="30"/>
    <s v="CUST050"/>
    <x v="33"/>
    <s v="P005"/>
    <x v="1"/>
    <x v="1"/>
    <n v="4"/>
    <n v="59.99"/>
    <x v="0"/>
    <x v="4"/>
    <x v="2"/>
    <d v="2021-08-27T00:00:00"/>
    <n v="239.96"/>
  </r>
  <r>
    <s v="TRX0088"/>
    <x v="31"/>
    <s v="CUST006"/>
    <x v="24"/>
    <s v="P010"/>
    <x v="8"/>
    <x v="0"/>
    <n v="5"/>
    <n v="89.99"/>
    <x v="0"/>
    <x v="0"/>
    <x v="1"/>
    <d v="2022-01-18T00:00:00"/>
    <n v="449.95"/>
  </r>
  <r>
    <s v="TRX0115"/>
    <x v="32"/>
    <s v="CUST012"/>
    <x v="18"/>
    <s v="P010"/>
    <x v="8"/>
    <x v="0"/>
    <n v="2"/>
    <n v="89.99"/>
    <x v="1"/>
    <x v="1"/>
    <x v="1"/>
    <d v="2021-10-02T00:00:00"/>
    <n v="179.98"/>
  </r>
  <r>
    <s v="TRX0154"/>
    <x v="32"/>
    <s v="CUST023"/>
    <x v="0"/>
    <s v="P001"/>
    <x v="4"/>
    <x v="0"/>
    <n v="5"/>
    <n v="899.99"/>
    <x v="1"/>
    <x v="1"/>
    <x v="2"/>
    <d v="2023-02-17T00:00:00"/>
    <n v="4499.95"/>
  </r>
  <r>
    <s v="TRX0044"/>
    <x v="32"/>
    <s v="CUST029"/>
    <x v="23"/>
    <s v="P001"/>
    <x v="4"/>
    <x v="0"/>
    <n v="5"/>
    <n v="899.99"/>
    <x v="2"/>
    <x v="4"/>
    <x v="1"/>
    <d v="2023-12-18T00:00:00"/>
    <n v="4499.95"/>
  </r>
  <r>
    <s v="TRX0061"/>
    <x v="33"/>
    <s v="CUST028"/>
    <x v="32"/>
    <s v="P005"/>
    <x v="1"/>
    <x v="1"/>
    <n v="1"/>
    <n v="59.99"/>
    <x v="3"/>
    <x v="3"/>
    <x v="1"/>
    <d v="2023-09-21T00:00:00"/>
    <n v="59.99"/>
  </r>
  <r>
    <s v="TRX0150"/>
    <x v="33"/>
    <s v="CUST008"/>
    <x v="27"/>
    <s v="P007"/>
    <x v="6"/>
    <x v="2"/>
    <n v="2"/>
    <n v="299.99"/>
    <x v="3"/>
    <x v="4"/>
    <x v="2"/>
    <d v="2023-11-23T00:00:00"/>
    <n v="599.98"/>
  </r>
  <r>
    <s v="TRX0025"/>
    <x v="34"/>
    <s v="CUST049"/>
    <x v="34"/>
    <s v="P010"/>
    <x v="8"/>
    <x v="0"/>
    <n v="4"/>
    <n v="89.99"/>
    <x v="3"/>
    <x v="1"/>
    <x v="0"/>
    <d v="2023-12-21T00:00:00"/>
    <n v="359.96"/>
  </r>
  <r>
    <s v="TRX0078"/>
    <x v="35"/>
    <s v="CUST021"/>
    <x v="2"/>
    <s v="P004"/>
    <x v="7"/>
    <x v="1"/>
    <n v="1"/>
    <n v="79.989999999999995"/>
    <x v="2"/>
    <x v="0"/>
    <x v="1"/>
    <d v="2024-03-01T00:00:00"/>
    <n v="79.989999999999995"/>
  </r>
  <r>
    <s v="TRX0007"/>
    <x v="35"/>
    <s v="CUST009"/>
    <x v="7"/>
    <s v="P010"/>
    <x v="8"/>
    <x v="0"/>
    <n v="2"/>
    <n v="89.99"/>
    <x v="0"/>
    <x v="3"/>
    <x v="0"/>
    <d v="2021-08-30T00:00:00"/>
    <n v="179.98"/>
  </r>
  <r>
    <s v="TRX0184"/>
    <x v="36"/>
    <s v="CUST046"/>
    <x v="3"/>
    <s v="P002"/>
    <x v="5"/>
    <x v="0"/>
    <n v="3"/>
    <n v="699.99"/>
    <x v="1"/>
    <x v="4"/>
    <x v="1"/>
    <d v="2023-06-25T00:00:00"/>
    <n v="2099.9699999999998"/>
  </r>
  <r>
    <s v="TRX0104"/>
    <x v="36"/>
    <s v="CUST012"/>
    <x v="18"/>
    <s v="P001"/>
    <x v="4"/>
    <x v="0"/>
    <n v="4"/>
    <n v="899.99"/>
    <x v="1"/>
    <x v="4"/>
    <x v="1"/>
    <d v="2023-03-08T00:00:00"/>
    <n v="3599.96"/>
  </r>
  <r>
    <s v="TRX0127"/>
    <x v="37"/>
    <s v="CUST030"/>
    <x v="22"/>
    <s v="P008"/>
    <x v="2"/>
    <x v="2"/>
    <n v="1"/>
    <n v="149.99"/>
    <x v="2"/>
    <x v="4"/>
    <x v="0"/>
    <d v="2022-10-17T00:00:00"/>
    <n v="149.99"/>
  </r>
  <r>
    <s v="TRX0096"/>
    <x v="38"/>
    <s v="CUST002"/>
    <x v="25"/>
    <s v="P010"/>
    <x v="8"/>
    <x v="0"/>
    <n v="2"/>
    <n v="89.99"/>
    <x v="2"/>
    <x v="0"/>
    <x v="1"/>
    <d v="2023-12-15T00:00:00"/>
    <n v="179.98"/>
  </r>
  <r>
    <s v="TRX0192"/>
    <x v="39"/>
    <s v="CUST017"/>
    <x v="6"/>
    <s v="P010"/>
    <x v="8"/>
    <x v="0"/>
    <n v="1"/>
    <n v="89.99"/>
    <x v="2"/>
    <x v="3"/>
    <x v="2"/>
    <d v="2022-08-29T00:00:00"/>
    <n v="89.99"/>
  </r>
  <r>
    <s v="TRX0052"/>
    <x v="40"/>
    <s v="CUST022"/>
    <x v="9"/>
    <s v="P010"/>
    <x v="8"/>
    <x v="0"/>
    <n v="1"/>
    <n v="89.99"/>
    <x v="0"/>
    <x v="1"/>
    <x v="2"/>
    <d v="2022-02-19T00:00:00"/>
    <n v="89.99"/>
  </r>
  <r>
    <s v="TRX0070"/>
    <x v="40"/>
    <s v="CUST007"/>
    <x v="35"/>
    <s v="P004"/>
    <x v="7"/>
    <x v="1"/>
    <n v="5"/>
    <n v="79.989999999999995"/>
    <x v="3"/>
    <x v="0"/>
    <x v="0"/>
    <d v="2023-02-24T00:00:00"/>
    <n v="399.95"/>
  </r>
  <r>
    <s v="TRX0086"/>
    <x v="41"/>
    <s v="CUST020"/>
    <x v="36"/>
    <s v="P008"/>
    <x v="2"/>
    <x v="2"/>
    <n v="1"/>
    <n v="149.99"/>
    <x v="2"/>
    <x v="2"/>
    <x v="0"/>
    <d v="2021-08-13T00:00:00"/>
    <n v="149.99"/>
  </r>
  <r>
    <s v="TRX0113"/>
    <x v="41"/>
    <s v="CUST003"/>
    <x v="4"/>
    <s v="P002"/>
    <x v="5"/>
    <x v="0"/>
    <n v="2"/>
    <n v="699.99"/>
    <x v="2"/>
    <x v="4"/>
    <x v="1"/>
    <d v="2024-04-07T00:00:00"/>
    <n v="1399.98"/>
  </r>
  <r>
    <s v="TRX0114"/>
    <x v="41"/>
    <s v="CUST018"/>
    <x v="17"/>
    <s v="P010"/>
    <x v="8"/>
    <x v="0"/>
    <n v="5"/>
    <n v="89.99"/>
    <x v="3"/>
    <x v="2"/>
    <x v="1"/>
    <d v="2023-08-23T00:00:00"/>
    <n v="449.95"/>
  </r>
  <r>
    <s v="TRX0136"/>
    <x v="42"/>
    <s v="CUST049"/>
    <x v="34"/>
    <s v="P005"/>
    <x v="1"/>
    <x v="1"/>
    <n v="4"/>
    <n v="59.99"/>
    <x v="0"/>
    <x v="1"/>
    <x v="2"/>
    <d v="2021-11-09T00:00:00"/>
    <n v="239.96"/>
  </r>
  <r>
    <s v="TRX0018"/>
    <x v="43"/>
    <s v="CUST013"/>
    <x v="1"/>
    <s v="P003"/>
    <x v="3"/>
    <x v="0"/>
    <n v="1"/>
    <n v="149.99"/>
    <x v="0"/>
    <x v="0"/>
    <x v="2"/>
    <d v="2022-12-14T00:00:00"/>
    <n v="149.99"/>
  </r>
  <r>
    <s v="TRX0141"/>
    <x v="43"/>
    <s v="CUST033"/>
    <x v="37"/>
    <s v="P007"/>
    <x v="6"/>
    <x v="2"/>
    <n v="1"/>
    <n v="299.99"/>
    <x v="1"/>
    <x v="2"/>
    <x v="1"/>
    <d v="2022-11-26T00:00:00"/>
    <n v="299.99"/>
  </r>
  <r>
    <s v="TRX0097"/>
    <x v="44"/>
    <s v="CUST033"/>
    <x v="37"/>
    <s v="P006"/>
    <x v="9"/>
    <x v="2"/>
    <n v="2"/>
    <n v="199.99"/>
    <x v="0"/>
    <x v="2"/>
    <x v="0"/>
    <d v="2021-12-11T00:00:00"/>
    <n v="399.98"/>
  </r>
  <r>
    <s v="TRX0169"/>
    <x v="45"/>
    <s v="CUST047"/>
    <x v="38"/>
    <s v="P005"/>
    <x v="1"/>
    <x v="1"/>
    <n v="3"/>
    <n v="59.99"/>
    <x v="1"/>
    <x v="3"/>
    <x v="0"/>
    <d v="2023-07-23T00:00:00"/>
    <n v="179.97"/>
  </r>
  <r>
    <s v="TRX0216"/>
    <x v="45"/>
    <s v="CUST041"/>
    <x v="10"/>
    <s v="P008"/>
    <x v="2"/>
    <x v="2"/>
    <n v="3"/>
    <n v="149.99"/>
    <x v="0"/>
    <x v="0"/>
    <x v="1"/>
    <d v="2023-09-30T00:00:00"/>
    <n v="449.97"/>
  </r>
  <r>
    <s v="TRX0131"/>
    <x v="46"/>
    <s v="CUST026"/>
    <x v="8"/>
    <s v="P006"/>
    <x v="9"/>
    <x v="2"/>
    <n v="3"/>
    <n v="199.99"/>
    <x v="0"/>
    <x v="2"/>
    <x v="1"/>
    <d v="2023-11-24T00:00:00"/>
    <n v="599.97"/>
  </r>
  <r>
    <s v="TRX0162"/>
    <x v="47"/>
    <s v="CUST040"/>
    <x v="30"/>
    <s v="P001"/>
    <x v="4"/>
    <x v="0"/>
    <n v="1"/>
    <n v="899.99"/>
    <x v="0"/>
    <x v="0"/>
    <x v="2"/>
    <d v="2023-09-10T00:00:00"/>
    <n v="899.99"/>
  </r>
  <r>
    <s v="TRX0244"/>
    <x v="48"/>
    <s v="CUST013"/>
    <x v="1"/>
    <s v="P001"/>
    <x v="4"/>
    <x v="0"/>
    <n v="5"/>
    <n v="899.99"/>
    <x v="3"/>
    <x v="1"/>
    <x v="2"/>
    <d v="2022-12-04T00:00:00"/>
    <n v="4499.95"/>
  </r>
  <r>
    <s v="TRX0006"/>
    <x v="49"/>
    <s v="CUST007"/>
    <x v="35"/>
    <s v="P005"/>
    <x v="1"/>
    <x v="1"/>
    <n v="2"/>
    <n v="59.99"/>
    <x v="0"/>
    <x v="2"/>
    <x v="2"/>
    <d v="2023-08-14T00:00:00"/>
    <n v="119.98"/>
  </r>
  <r>
    <s v="TRX0215"/>
    <x v="49"/>
    <s v="CUST047"/>
    <x v="38"/>
    <s v="P009"/>
    <x v="0"/>
    <x v="0"/>
    <n v="4"/>
    <n v="249.99"/>
    <x v="3"/>
    <x v="0"/>
    <x v="2"/>
    <d v="2023-07-20T00:00:00"/>
    <n v="999.96"/>
  </r>
  <r>
    <s v="TRX0080"/>
    <x v="50"/>
    <s v="CUST018"/>
    <x v="17"/>
    <s v="P009"/>
    <x v="0"/>
    <x v="0"/>
    <n v="2"/>
    <n v="249.99"/>
    <x v="0"/>
    <x v="2"/>
    <x v="1"/>
    <d v="2023-08-26T00:00:00"/>
    <n v="499.98"/>
  </r>
  <r>
    <s v="TRX0228"/>
    <x v="50"/>
    <s v="CUST019"/>
    <x v="29"/>
    <s v="P007"/>
    <x v="6"/>
    <x v="2"/>
    <n v="1"/>
    <n v="299.99"/>
    <x v="0"/>
    <x v="1"/>
    <x v="0"/>
    <d v="2023-02-25T00:00:00"/>
    <n v="299.99"/>
  </r>
  <r>
    <s v="TRX0157"/>
    <x v="51"/>
    <s v="CUST025"/>
    <x v="14"/>
    <s v="P010"/>
    <x v="8"/>
    <x v="0"/>
    <n v="2"/>
    <n v="89.99"/>
    <x v="2"/>
    <x v="1"/>
    <x v="0"/>
    <d v="2023-02-19T00:00:00"/>
    <n v="179.98"/>
  </r>
  <r>
    <s v="TRX0002"/>
    <x v="51"/>
    <s v="CUST019"/>
    <x v="29"/>
    <s v="P007"/>
    <x v="6"/>
    <x v="2"/>
    <n v="3"/>
    <n v="299.99"/>
    <x v="0"/>
    <x v="0"/>
    <x v="0"/>
    <d v="2022-06-20T00:00:00"/>
    <n v="899.97"/>
  </r>
  <r>
    <s v="TRX0217"/>
    <x v="52"/>
    <s v="CUST025"/>
    <x v="14"/>
    <s v="P002"/>
    <x v="5"/>
    <x v="0"/>
    <n v="2"/>
    <n v="699.99"/>
    <x v="1"/>
    <x v="2"/>
    <x v="1"/>
    <d v="2023-03-14T00:00:00"/>
    <n v="1399.98"/>
  </r>
  <r>
    <s v="TRX0249"/>
    <x v="53"/>
    <s v="CUST030"/>
    <x v="22"/>
    <s v="P001"/>
    <x v="4"/>
    <x v="0"/>
    <n v="4"/>
    <n v="899.99"/>
    <x v="3"/>
    <x v="1"/>
    <x v="2"/>
    <d v="2021-11-23T00:00:00"/>
    <n v="3599.96"/>
  </r>
  <r>
    <s v="TRX0065"/>
    <x v="54"/>
    <s v="CUST016"/>
    <x v="39"/>
    <s v="P008"/>
    <x v="2"/>
    <x v="2"/>
    <n v="2"/>
    <n v="149.99"/>
    <x v="1"/>
    <x v="3"/>
    <x v="0"/>
    <d v="2021-12-12T00:00:00"/>
    <n v="299.98"/>
  </r>
  <r>
    <s v="TRX0176"/>
    <x v="55"/>
    <s v="CUST044"/>
    <x v="19"/>
    <s v="P008"/>
    <x v="2"/>
    <x v="2"/>
    <n v="2"/>
    <n v="149.99"/>
    <x v="3"/>
    <x v="4"/>
    <x v="2"/>
    <d v="2022-04-16T00:00:00"/>
    <n v="299.98"/>
  </r>
  <r>
    <s v="TRX0101"/>
    <x v="56"/>
    <s v="CUST010"/>
    <x v="15"/>
    <s v="P010"/>
    <x v="8"/>
    <x v="0"/>
    <n v="1"/>
    <n v="89.99"/>
    <x v="1"/>
    <x v="2"/>
    <x v="2"/>
    <d v="2024-04-11T00:00:00"/>
    <n v="89.99"/>
  </r>
  <r>
    <s v="TRX0205"/>
    <x v="57"/>
    <s v="CUST025"/>
    <x v="14"/>
    <s v="P007"/>
    <x v="6"/>
    <x v="2"/>
    <n v="5"/>
    <n v="299.99"/>
    <x v="1"/>
    <x v="2"/>
    <x v="0"/>
    <d v="2023-02-08T00:00:00"/>
    <n v="1499.95"/>
  </r>
  <r>
    <s v="TRX0020"/>
    <x v="58"/>
    <s v="CUST007"/>
    <x v="35"/>
    <s v="P003"/>
    <x v="3"/>
    <x v="0"/>
    <n v="4"/>
    <n v="149.99"/>
    <x v="3"/>
    <x v="1"/>
    <x v="1"/>
    <d v="2022-09-16T00:00:00"/>
    <n v="599.96"/>
  </r>
  <r>
    <s v="TRX0075"/>
    <x v="58"/>
    <s v="CUST020"/>
    <x v="36"/>
    <s v="P009"/>
    <x v="0"/>
    <x v="0"/>
    <n v="5"/>
    <n v="249.99"/>
    <x v="2"/>
    <x v="4"/>
    <x v="1"/>
    <d v="2022-08-09T00:00:00"/>
    <n v="1249.95"/>
  </r>
  <r>
    <s v="TRX0098"/>
    <x v="58"/>
    <s v="CUST026"/>
    <x v="8"/>
    <s v="P009"/>
    <x v="0"/>
    <x v="0"/>
    <n v="3"/>
    <n v="249.99"/>
    <x v="2"/>
    <x v="2"/>
    <x v="1"/>
    <d v="2021-09-26T00:00:00"/>
    <n v="749.97"/>
  </r>
  <r>
    <s v="TRX0247"/>
    <x v="58"/>
    <s v="CUST046"/>
    <x v="3"/>
    <s v="P006"/>
    <x v="9"/>
    <x v="2"/>
    <n v="4"/>
    <n v="199.99"/>
    <x v="0"/>
    <x v="2"/>
    <x v="2"/>
    <d v="2021-09-19T00:00:00"/>
    <n v="799.96"/>
  </r>
  <r>
    <s v="TRX0027"/>
    <x v="59"/>
    <s v="CUST028"/>
    <x v="32"/>
    <s v="P006"/>
    <x v="9"/>
    <x v="2"/>
    <n v="5"/>
    <n v="199.99"/>
    <x v="0"/>
    <x v="2"/>
    <x v="1"/>
    <d v="2023-03-06T00:00:00"/>
    <n v="999.95"/>
  </r>
  <r>
    <s v="TRX0140"/>
    <x v="60"/>
    <s v="CUST025"/>
    <x v="14"/>
    <s v="P010"/>
    <x v="8"/>
    <x v="0"/>
    <n v="2"/>
    <n v="89.99"/>
    <x v="0"/>
    <x v="4"/>
    <x v="1"/>
    <d v="2023-02-15T00:00:00"/>
    <n v="179.98"/>
  </r>
  <r>
    <s v="TRX0132"/>
    <x v="61"/>
    <s v="CUST047"/>
    <x v="38"/>
    <s v="P001"/>
    <x v="4"/>
    <x v="0"/>
    <n v="5"/>
    <n v="899.99"/>
    <x v="3"/>
    <x v="4"/>
    <x v="0"/>
    <d v="2021-11-26T00:00:00"/>
    <n v="4499.95"/>
  </r>
  <r>
    <s v="TRX0031"/>
    <x v="61"/>
    <s v="CUST036"/>
    <x v="20"/>
    <s v="P003"/>
    <x v="3"/>
    <x v="0"/>
    <n v="3"/>
    <n v="149.99"/>
    <x v="2"/>
    <x v="4"/>
    <x v="0"/>
    <d v="2022-01-13T00:00:00"/>
    <n v="449.97"/>
  </r>
  <r>
    <s v="TRX0236"/>
    <x v="62"/>
    <s v="CUST044"/>
    <x v="19"/>
    <s v="P008"/>
    <x v="2"/>
    <x v="2"/>
    <n v="5"/>
    <n v="149.99"/>
    <x v="1"/>
    <x v="0"/>
    <x v="0"/>
    <d v="2024-01-19T00:00:00"/>
    <n v="749.95"/>
  </r>
  <r>
    <s v="TRX0001"/>
    <x v="63"/>
    <s v="CUST039"/>
    <x v="40"/>
    <s v="P004"/>
    <x v="7"/>
    <x v="1"/>
    <n v="3"/>
    <n v="79.989999999999995"/>
    <x v="0"/>
    <x v="0"/>
    <x v="1"/>
    <d v="2022-08-06T00:00:00"/>
    <n v="239.97"/>
  </r>
  <r>
    <s v="TRX0037"/>
    <x v="63"/>
    <s v="CUST035"/>
    <x v="28"/>
    <s v="P009"/>
    <x v="0"/>
    <x v="0"/>
    <n v="2"/>
    <n v="249.99"/>
    <x v="0"/>
    <x v="1"/>
    <x v="2"/>
    <d v="2022-01-11T00:00:00"/>
    <n v="499.98"/>
  </r>
  <r>
    <s v="TRX0058"/>
    <x v="64"/>
    <s v="CUST047"/>
    <x v="38"/>
    <s v="P002"/>
    <x v="5"/>
    <x v="0"/>
    <n v="1"/>
    <n v="699.99"/>
    <x v="0"/>
    <x v="0"/>
    <x v="1"/>
    <d v="2021-10-28T00:00:00"/>
    <n v="699.99"/>
  </r>
  <r>
    <s v="TRX0170"/>
    <x v="64"/>
    <s v="CUST034"/>
    <x v="41"/>
    <s v="P003"/>
    <x v="3"/>
    <x v="0"/>
    <n v="3"/>
    <n v="149.99"/>
    <x v="0"/>
    <x v="3"/>
    <x v="1"/>
    <d v="2023-10-13T00:00:00"/>
    <n v="449.97"/>
  </r>
  <r>
    <s v="TRX0248"/>
    <x v="65"/>
    <s v="CUST032"/>
    <x v="42"/>
    <s v="P002"/>
    <x v="5"/>
    <x v="0"/>
    <n v="2"/>
    <n v="699.99"/>
    <x v="1"/>
    <x v="2"/>
    <x v="1"/>
    <d v="2021-08-13T00:00:00"/>
    <n v="1399.98"/>
  </r>
  <r>
    <s v="TRX0099"/>
    <x v="66"/>
    <s v="CUST034"/>
    <x v="41"/>
    <s v="P009"/>
    <x v="0"/>
    <x v="0"/>
    <n v="1"/>
    <n v="249.99"/>
    <x v="1"/>
    <x v="3"/>
    <x v="1"/>
    <d v="2022-05-04T00:00:00"/>
    <n v="249.99"/>
  </r>
  <r>
    <s v="TRX0074"/>
    <x v="66"/>
    <s v="CUST023"/>
    <x v="0"/>
    <s v="P009"/>
    <x v="0"/>
    <x v="0"/>
    <n v="1"/>
    <n v="249.99"/>
    <x v="3"/>
    <x v="2"/>
    <x v="1"/>
    <d v="2024-02-10T00:00:00"/>
    <n v="249.99"/>
  </r>
  <r>
    <s v="TRX0225"/>
    <x v="67"/>
    <s v="CUST039"/>
    <x v="40"/>
    <s v="P002"/>
    <x v="5"/>
    <x v="0"/>
    <n v="2"/>
    <n v="699.99"/>
    <x v="3"/>
    <x v="0"/>
    <x v="1"/>
    <d v="2022-11-05T00:00:00"/>
    <n v="1399.98"/>
  </r>
  <r>
    <s v="TRX0100"/>
    <x v="68"/>
    <s v="CUST031"/>
    <x v="26"/>
    <s v="P005"/>
    <x v="1"/>
    <x v="1"/>
    <n v="3"/>
    <n v="59.99"/>
    <x v="1"/>
    <x v="0"/>
    <x v="1"/>
    <d v="2022-06-05T00:00:00"/>
    <n v="179.97"/>
  </r>
  <r>
    <s v="TRX0142"/>
    <x v="69"/>
    <s v="CUST002"/>
    <x v="25"/>
    <s v="P005"/>
    <x v="1"/>
    <x v="1"/>
    <n v="3"/>
    <n v="59.99"/>
    <x v="2"/>
    <x v="4"/>
    <x v="2"/>
    <d v="2022-07-06T00:00:00"/>
    <n v="179.97"/>
  </r>
  <r>
    <s v="TRX0112"/>
    <x v="69"/>
    <s v="CUST008"/>
    <x v="27"/>
    <s v="P004"/>
    <x v="7"/>
    <x v="1"/>
    <n v="4"/>
    <n v="79.989999999999995"/>
    <x v="0"/>
    <x v="2"/>
    <x v="0"/>
    <d v="2021-11-30T00:00:00"/>
    <n v="319.95999999999998"/>
  </r>
  <r>
    <s v="TRX0161"/>
    <x v="70"/>
    <s v="CUST017"/>
    <x v="6"/>
    <s v="P004"/>
    <x v="7"/>
    <x v="1"/>
    <n v="1"/>
    <n v="79.989999999999995"/>
    <x v="0"/>
    <x v="3"/>
    <x v="0"/>
    <d v="2022-05-12T00:00:00"/>
    <n v="79.989999999999995"/>
  </r>
  <r>
    <s v="TRX0108"/>
    <x v="71"/>
    <s v="CUST024"/>
    <x v="5"/>
    <s v="P007"/>
    <x v="6"/>
    <x v="2"/>
    <n v="3"/>
    <n v="299.99"/>
    <x v="1"/>
    <x v="0"/>
    <x v="1"/>
    <d v="2021-10-25T00:00:00"/>
    <n v="899.97"/>
  </r>
  <r>
    <s v="TRX0211"/>
    <x v="72"/>
    <s v="CUST046"/>
    <x v="3"/>
    <s v="P010"/>
    <x v="8"/>
    <x v="0"/>
    <n v="2"/>
    <n v="89.99"/>
    <x v="1"/>
    <x v="1"/>
    <x v="1"/>
    <d v="2022-03-21T00:00:00"/>
    <n v="179.98"/>
  </r>
  <r>
    <s v="TRX0005"/>
    <x v="73"/>
    <s v="CUST042"/>
    <x v="43"/>
    <s v="P003"/>
    <x v="3"/>
    <x v="0"/>
    <n v="4"/>
    <n v="149.99"/>
    <x v="0"/>
    <x v="2"/>
    <x v="0"/>
    <d v="2022-12-14T00:00:00"/>
    <n v="599.96"/>
  </r>
  <r>
    <s v="TRX0195"/>
    <x v="74"/>
    <s v="CUST026"/>
    <x v="8"/>
    <s v="P009"/>
    <x v="0"/>
    <x v="0"/>
    <n v="2"/>
    <n v="249.99"/>
    <x v="2"/>
    <x v="1"/>
    <x v="0"/>
    <d v="2023-03-08T00:00:00"/>
    <n v="499.98"/>
  </r>
  <r>
    <s v="TRX0054"/>
    <x v="74"/>
    <s v="CUST004"/>
    <x v="31"/>
    <s v="P006"/>
    <x v="9"/>
    <x v="2"/>
    <n v="4"/>
    <n v="199.99"/>
    <x v="3"/>
    <x v="4"/>
    <x v="0"/>
    <d v="2021-09-19T00:00:00"/>
    <n v="799.96"/>
  </r>
  <r>
    <s v="TRX0077"/>
    <x v="75"/>
    <s v="CUST019"/>
    <x v="29"/>
    <s v="P010"/>
    <x v="8"/>
    <x v="0"/>
    <n v="5"/>
    <n v="89.99"/>
    <x v="1"/>
    <x v="4"/>
    <x v="1"/>
    <d v="2021-09-07T00:00:00"/>
    <n v="449.95"/>
  </r>
  <r>
    <s v="TRX0111"/>
    <x v="75"/>
    <s v="CUST011"/>
    <x v="44"/>
    <s v="P003"/>
    <x v="3"/>
    <x v="0"/>
    <n v="1"/>
    <n v="149.99"/>
    <x v="2"/>
    <x v="4"/>
    <x v="2"/>
    <d v="2021-10-13T00:00:00"/>
    <n v="149.99"/>
  </r>
  <r>
    <s v="TRX0123"/>
    <x v="75"/>
    <s v="CUST041"/>
    <x v="10"/>
    <s v="P002"/>
    <x v="5"/>
    <x v="0"/>
    <n v="4"/>
    <n v="699.99"/>
    <x v="2"/>
    <x v="1"/>
    <x v="0"/>
    <d v="2022-02-26T00:00:00"/>
    <n v="2799.96"/>
  </r>
  <r>
    <s v="TRX0177"/>
    <x v="76"/>
    <s v="CUST032"/>
    <x v="42"/>
    <s v="P001"/>
    <x v="4"/>
    <x v="0"/>
    <n v="3"/>
    <n v="899.99"/>
    <x v="1"/>
    <x v="2"/>
    <x v="2"/>
    <d v="2023-08-19T00:00:00"/>
    <n v="2699.97"/>
  </r>
  <r>
    <s v="TRX0119"/>
    <x v="77"/>
    <s v="CUST014"/>
    <x v="21"/>
    <s v="P008"/>
    <x v="2"/>
    <x v="2"/>
    <n v="3"/>
    <n v="149.99"/>
    <x v="2"/>
    <x v="4"/>
    <x v="0"/>
    <d v="2022-11-21T00:00:00"/>
    <n v="449.97"/>
  </r>
  <r>
    <s v="TRX0181"/>
    <x v="78"/>
    <s v="CUST012"/>
    <x v="18"/>
    <s v="P007"/>
    <x v="6"/>
    <x v="2"/>
    <n v="2"/>
    <n v="299.99"/>
    <x v="3"/>
    <x v="0"/>
    <x v="0"/>
    <d v="2022-01-08T00:00:00"/>
    <n v="599.98"/>
  </r>
  <r>
    <s v="TRX0129"/>
    <x v="79"/>
    <s v="CUST015"/>
    <x v="45"/>
    <s v="P006"/>
    <x v="9"/>
    <x v="2"/>
    <n v="1"/>
    <n v="199.99"/>
    <x v="3"/>
    <x v="4"/>
    <x v="2"/>
    <d v="2023-01-27T00:00:00"/>
    <n v="199.99"/>
  </r>
  <r>
    <s v="TRX0174"/>
    <x v="80"/>
    <s v="CUST003"/>
    <x v="4"/>
    <s v="P007"/>
    <x v="6"/>
    <x v="2"/>
    <n v="4"/>
    <n v="299.99"/>
    <x v="0"/>
    <x v="0"/>
    <x v="1"/>
    <d v="2021-09-21T00:00:00"/>
    <n v="1199.96"/>
  </r>
  <r>
    <s v="TRX0146"/>
    <x v="81"/>
    <s v="CUST010"/>
    <x v="15"/>
    <s v="P005"/>
    <x v="1"/>
    <x v="1"/>
    <n v="2"/>
    <n v="59.99"/>
    <x v="1"/>
    <x v="0"/>
    <x v="0"/>
    <d v="2022-01-18T00:00:00"/>
    <n v="119.98"/>
  </r>
  <r>
    <s v="TRX0203"/>
    <x v="81"/>
    <s v="CUST032"/>
    <x v="42"/>
    <s v="P003"/>
    <x v="3"/>
    <x v="0"/>
    <n v="4"/>
    <n v="149.99"/>
    <x v="1"/>
    <x v="2"/>
    <x v="1"/>
    <d v="2023-05-30T00:00:00"/>
    <n v="599.96"/>
  </r>
  <r>
    <s v="TRX0055"/>
    <x v="82"/>
    <s v="CUST016"/>
    <x v="39"/>
    <s v="P002"/>
    <x v="5"/>
    <x v="0"/>
    <n v="2"/>
    <n v="699.99"/>
    <x v="3"/>
    <x v="4"/>
    <x v="1"/>
    <d v="2023-12-14T00:00:00"/>
    <n v="1399.98"/>
  </r>
  <r>
    <s v="TRX0218"/>
    <x v="82"/>
    <s v="CUST034"/>
    <x v="41"/>
    <s v="P008"/>
    <x v="2"/>
    <x v="2"/>
    <n v="3"/>
    <n v="149.99"/>
    <x v="1"/>
    <x v="1"/>
    <x v="2"/>
    <d v="2023-01-14T00:00:00"/>
    <n v="449.97"/>
  </r>
  <r>
    <s v="TRX0085"/>
    <x v="83"/>
    <s v="CUST019"/>
    <x v="29"/>
    <s v="P007"/>
    <x v="6"/>
    <x v="2"/>
    <n v="3"/>
    <n v="299.99"/>
    <x v="1"/>
    <x v="0"/>
    <x v="2"/>
    <d v="2023-09-05T00:00:00"/>
    <n v="899.97"/>
  </r>
  <r>
    <s v="TRX0158"/>
    <x v="84"/>
    <s v="CUST027"/>
    <x v="13"/>
    <s v="P001"/>
    <x v="4"/>
    <x v="0"/>
    <n v="3"/>
    <n v="899.99"/>
    <x v="2"/>
    <x v="3"/>
    <x v="0"/>
    <d v="2023-10-16T00:00:00"/>
    <n v="2699.97"/>
  </r>
  <r>
    <s v="TRX0173"/>
    <x v="85"/>
    <s v="CUST018"/>
    <x v="17"/>
    <s v="P002"/>
    <x v="5"/>
    <x v="0"/>
    <n v="5"/>
    <n v="699.99"/>
    <x v="0"/>
    <x v="4"/>
    <x v="2"/>
    <d v="2023-03-23T00:00:00"/>
    <n v="3499.95"/>
  </r>
  <r>
    <s v="TRX0034"/>
    <x v="85"/>
    <s v="CUST049"/>
    <x v="34"/>
    <s v="P002"/>
    <x v="5"/>
    <x v="0"/>
    <n v="4"/>
    <n v="699.99"/>
    <x v="1"/>
    <x v="0"/>
    <x v="0"/>
    <d v="2024-04-03T00:00:00"/>
    <n v="2799.96"/>
  </r>
  <r>
    <s v="TRX0189"/>
    <x v="85"/>
    <s v="CUST040"/>
    <x v="30"/>
    <s v="P001"/>
    <x v="4"/>
    <x v="0"/>
    <n v="1"/>
    <n v="899.99"/>
    <x v="1"/>
    <x v="4"/>
    <x v="2"/>
    <d v="2024-03-18T00:00:00"/>
    <n v="899.99"/>
  </r>
  <r>
    <s v="TRX0190"/>
    <x v="86"/>
    <s v="CUST039"/>
    <x v="40"/>
    <s v="P003"/>
    <x v="3"/>
    <x v="0"/>
    <n v="2"/>
    <n v="149.99"/>
    <x v="1"/>
    <x v="3"/>
    <x v="0"/>
    <d v="2022-12-21T00:00:00"/>
    <n v="299.98"/>
  </r>
  <r>
    <s v="TRX0079"/>
    <x v="87"/>
    <s v="CUST039"/>
    <x v="40"/>
    <s v="P010"/>
    <x v="8"/>
    <x v="0"/>
    <n v="3"/>
    <n v="89.99"/>
    <x v="2"/>
    <x v="0"/>
    <x v="0"/>
    <d v="2021-12-21T00:00:00"/>
    <n v="269.97000000000003"/>
  </r>
  <r>
    <s v="TRX0095"/>
    <x v="88"/>
    <s v="CUST046"/>
    <x v="3"/>
    <s v="P003"/>
    <x v="3"/>
    <x v="0"/>
    <n v="2"/>
    <n v="149.99"/>
    <x v="2"/>
    <x v="0"/>
    <x v="0"/>
    <d v="2021-10-04T00:00:00"/>
    <n v="299.98"/>
  </r>
  <r>
    <s v="TRX0009"/>
    <x v="88"/>
    <s v="CUST004"/>
    <x v="31"/>
    <s v="P002"/>
    <x v="5"/>
    <x v="0"/>
    <n v="2"/>
    <n v="699.99"/>
    <x v="0"/>
    <x v="0"/>
    <x v="0"/>
    <d v="2023-03-07T00:00:00"/>
    <n v="1399.98"/>
  </r>
  <r>
    <s v="TRX0167"/>
    <x v="89"/>
    <s v="CUST028"/>
    <x v="32"/>
    <s v="P002"/>
    <x v="5"/>
    <x v="0"/>
    <n v="5"/>
    <n v="699.99"/>
    <x v="0"/>
    <x v="2"/>
    <x v="1"/>
    <d v="2022-03-15T00:00:00"/>
    <n v="3499.95"/>
  </r>
  <r>
    <s v="TRX0153"/>
    <x v="90"/>
    <s v="CUST049"/>
    <x v="34"/>
    <s v="P010"/>
    <x v="8"/>
    <x v="0"/>
    <n v="3"/>
    <n v="89.99"/>
    <x v="1"/>
    <x v="2"/>
    <x v="2"/>
    <d v="2022-02-23T00:00:00"/>
    <n v="269.97000000000003"/>
  </r>
  <r>
    <s v="TRX0057"/>
    <x v="91"/>
    <s v="CUST023"/>
    <x v="0"/>
    <s v="P009"/>
    <x v="0"/>
    <x v="0"/>
    <n v="5"/>
    <n v="249.99"/>
    <x v="1"/>
    <x v="1"/>
    <x v="2"/>
    <d v="2022-11-16T00:00:00"/>
    <n v="1249.95"/>
  </r>
  <r>
    <s v="TRX0017"/>
    <x v="92"/>
    <s v="CUST026"/>
    <x v="8"/>
    <s v="P007"/>
    <x v="6"/>
    <x v="2"/>
    <n v="3"/>
    <n v="299.99"/>
    <x v="1"/>
    <x v="1"/>
    <x v="2"/>
    <d v="2021-11-02T00:00:00"/>
    <n v="899.97"/>
  </r>
  <r>
    <s v="TRX0060"/>
    <x v="93"/>
    <s v="CUST012"/>
    <x v="18"/>
    <s v="P010"/>
    <x v="8"/>
    <x v="0"/>
    <n v="3"/>
    <n v="89.99"/>
    <x v="1"/>
    <x v="2"/>
    <x v="1"/>
    <d v="2021-08-12T00:00:00"/>
    <n v="269.97000000000003"/>
  </r>
  <r>
    <s v="TRX0109"/>
    <x v="94"/>
    <s v="CUST010"/>
    <x v="15"/>
    <s v="P008"/>
    <x v="2"/>
    <x v="2"/>
    <n v="2"/>
    <n v="149.99"/>
    <x v="1"/>
    <x v="3"/>
    <x v="1"/>
    <d v="2022-10-14T00:00:00"/>
    <n v="299.98"/>
  </r>
  <r>
    <s v="TRX0090"/>
    <x v="95"/>
    <s v="CUST020"/>
    <x v="36"/>
    <s v="P009"/>
    <x v="0"/>
    <x v="0"/>
    <n v="1"/>
    <n v="249.99"/>
    <x v="1"/>
    <x v="2"/>
    <x v="1"/>
    <d v="2022-09-24T00:00:00"/>
    <n v="249.99"/>
  </r>
  <r>
    <s v="TRX0035"/>
    <x v="96"/>
    <s v="CUST041"/>
    <x v="10"/>
    <s v="P003"/>
    <x v="3"/>
    <x v="0"/>
    <n v="3"/>
    <n v="149.99"/>
    <x v="0"/>
    <x v="2"/>
    <x v="0"/>
    <d v="2022-07-27T00:00:00"/>
    <n v="449.97"/>
  </r>
  <r>
    <s v="TRX0172"/>
    <x v="96"/>
    <s v="CUST023"/>
    <x v="0"/>
    <s v="P005"/>
    <x v="1"/>
    <x v="1"/>
    <n v="5"/>
    <n v="59.99"/>
    <x v="2"/>
    <x v="3"/>
    <x v="1"/>
    <d v="2022-05-13T00:00:00"/>
    <n v="299.95"/>
  </r>
  <r>
    <s v="TRX0076"/>
    <x v="96"/>
    <s v="CUST012"/>
    <x v="18"/>
    <s v="P009"/>
    <x v="0"/>
    <x v="0"/>
    <n v="4"/>
    <n v="249.99"/>
    <x v="1"/>
    <x v="3"/>
    <x v="2"/>
    <d v="2022-04-08T00:00:00"/>
    <n v="999.96"/>
  </r>
  <r>
    <s v="TRX0210"/>
    <x v="97"/>
    <s v="CUST004"/>
    <x v="31"/>
    <s v="P008"/>
    <x v="2"/>
    <x v="2"/>
    <n v="5"/>
    <n v="149.99"/>
    <x v="2"/>
    <x v="0"/>
    <x v="0"/>
    <d v="2022-12-06T00:00:00"/>
    <n v="749.95"/>
  </r>
  <r>
    <s v="TRX0149"/>
    <x v="97"/>
    <s v="CUST027"/>
    <x v="13"/>
    <s v="P005"/>
    <x v="1"/>
    <x v="1"/>
    <n v="3"/>
    <n v="59.99"/>
    <x v="3"/>
    <x v="1"/>
    <x v="2"/>
    <d v="2023-11-30T00:00:00"/>
    <n v="179.97"/>
  </r>
  <r>
    <s v="TRX0073"/>
    <x v="98"/>
    <s v="CUST032"/>
    <x v="42"/>
    <s v="P008"/>
    <x v="2"/>
    <x v="2"/>
    <n v="5"/>
    <n v="149.99"/>
    <x v="0"/>
    <x v="2"/>
    <x v="0"/>
    <d v="2022-11-04T00:00:00"/>
    <n v="749.95"/>
  </r>
  <r>
    <s v="TRX0033"/>
    <x v="98"/>
    <s v="CUST025"/>
    <x v="14"/>
    <s v="P002"/>
    <x v="5"/>
    <x v="0"/>
    <n v="2"/>
    <n v="699.99"/>
    <x v="2"/>
    <x v="3"/>
    <x v="2"/>
    <d v="2022-07-28T00:00:00"/>
    <n v="1399.98"/>
  </r>
  <r>
    <s v="TRX0160"/>
    <x v="99"/>
    <s v="CUST029"/>
    <x v="23"/>
    <s v="P006"/>
    <x v="9"/>
    <x v="2"/>
    <n v="4"/>
    <n v="199.99"/>
    <x v="3"/>
    <x v="0"/>
    <x v="1"/>
    <d v="2021-08-19T00:00:00"/>
    <n v="799.96"/>
  </r>
  <r>
    <s v="TRX0145"/>
    <x v="100"/>
    <s v="CUST033"/>
    <x v="37"/>
    <s v="P005"/>
    <x v="1"/>
    <x v="1"/>
    <n v="1"/>
    <n v="59.99"/>
    <x v="3"/>
    <x v="3"/>
    <x v="2"/>
    <d v="2021-12-30T00:00:00"/>
    <n v="59.99"/>
  </r>
  <r>
    <s v="TRX0148"/>
    <x v="100"/>
    <s v="CUST004"/>
    <x v="31"/>
    <s v="P002"/>
    <x v="5"/>
    <x v="0"/>
    <n v="3"/>
    <n v="699.99"/>
    <x v="2"/>
    <x v="3"/>
    <x v="2"/>
    <d v="2022-01-22T00:00:00"/>
    <n v="2099.9699999999998"/>
  </r>
  <r>
    <s v="TRX0012"/>
    <x v="101"/>
    <s v="CUST045"/>
    <x v="46"/>
    <s v="P009"/>
    <x v="0"/>
    <x v="0"/>
    <n v="5"/>
    <n v="249.99"/>
    <x v="1"/>
    <x v="2"/>
    <x v="0"/>
    <d v="2022-11-08T00:00:00"/>
    <n v="1249.95"/>
  </r>
  <r>
    <s v="TRX0206"/>
    <x v="102"/>
    <s v="CUST014"/>
    <x v="21"/>
    <s v="P008"/>
    <x v="2"/>
    <x v="2"/>
    <n v="2"/>
    <n v="149.99"/>
    <x v="0"/>
    <x v="1"/>
    <x v="2"/>
    <d v="2023-06-24T00:00:00"/>
    <n v="299.98"/>
  </r>
  <r>
    <s v="TRX0045"/>
    <x v="103"/>
    <s v="CUST021"/>
    <x v="2"/>
    <s v="P007"/>
    <x v="6"/>
    <x v="2"/>
    <n v="3"/>
    <n v="299.99"/>
    <x v="0"/>
    <x v="1"/>
    <x v="1"/>
    <d v="2022-04-08T00:00:00"/>
    <n v="899.97"/>
  </r>
  <r>
    <s v="TRX0094"/>
    <x v="103"/>
    <s v="CUST017"/>
    <x v="6"/>
    <s v="P009"/>
    <x v="0"/>
    <x v="0"/>
    <n v="5"/>
    <n v="249.99"/>
    <x v="0"/>
    <x v="0"/>
    <x v="1"/>
    <d v="2021-10-16T00:00:00"/>
    <n v="1249.95"/>
  </r>
  <r>
    <s v="TRX0133"/>
    <x v="103"/>
    <s v="CUST013"/>
    <x v="1"/>
    <s v="P003"/>
    <x v="3"/>
    <x v="0"/>
    <n v="2"/>
    <n v="149.99"/>
    <x v="0"/>
    <x v="1"/>
    <x v="1"/>
    <d v="2021-10-06T00:00:00"/>
    <n v="299.98"/>
  </r>
  <r>
    <s v="TRX0201"/>
    <x v="103"/>
    <s v="CUST025"/>
    <x v="14"/>
    <s v="P002"/>
    <x v="5"/>
    <x v="0"/>
    <n v="5"/>
    <n v="699.99"/>
    <x v="3"/>
    <x v="3"/>
    <x v="2"/>
    <d v="2023-01-18T00:00:00"/>
    <n v="3499.95"/>
  </r>
  <r>
    <s v="TRX0137"/>
    <x v="104"/>
    <s v="CUST011"/>
    <x v="44"/>
    <s v="P009"/>
    <x v="0"/>
    <x v="0"/>
    <n v="4"/>
    <n v="249.99"/>
    <x v="2"/>
    <x v="4"/>
    <x v="1"/>
    <d v="2023-06-21T00:00:00"/>
    <n v="999.96"/>
  </r>
  <r>
    <s v="TRX0066"/>
    <x v="105"/>
    <s v="CUST024"/>
    <x v="5"/>
    <s v="P002"/>
    <x v="5"/>
    <x v="0"/>
    <n v="4"/>
    <n v="699.99"/>
    <x v="1"/>
    <x v="2"/>
    <x v="1"/>
    <d v="2022-05-22T00:00:00"/>
    <n v="2799.96"/>
  </r>
  <r>
    <s v="TRX0180"/>
    <x v="106"/>
    <s v="CUST036"/>
    <x v="20"/>
    <s v="P009"/>
    <x v="0"/>
    <x v="0"/>
    <n v="2"/>
    <n v="249.99"/>
    <x v="1"/>
    <x v="0"/>
    <x v="1"/>
    <d v="2021-07-19T00:00:00"/>
    <n v="499.98"/>
  </r>
  <r>
    <s v="TRX0082"/>
    <x v="106"/>
    <s v="CUST005"/>
    <x v="47"/>
    <s v="P005"/>
    <x v="1"/>
    <x v="1"/>
    <n v="3"/>
    <n v="59.99"/>
    <x v="0"/>
    <x v="0"/>
    <x v="1"/>
    <d v="2023-05-06T00:00:00"/>
    <n v="179.97"/>
  </r>
  <r>
    <s v="TRX0036"/>
    <x v="106"/>
    <s v="CUST008"/>
    <x v="27"/>
    <s v="P004"/>
    <x v="7"/>
    <x v="1"/>
    <n v="4"/>
    <n v="79.989999999999995"/>
    <x v="3"/>
    <x v="4"/>
    <x v="2"/>
    <d v="2022-12-26T00:00:00"/>
    <n v="319.95999999999998"/>
  </r>
  <r>
    <s v="TRX0198"/>
    <x v="107"/>
    <s v="CUST030"/>
    <x v="22"/>
    <s v="P004"/>
    <x v="7"/>
    <x v="1"/>
    <n v="3"/>
    <n v="79.989999999999995"/>
    <x v="3"/>
    <x v="4"/>
    <x v="2"/>
    <d v="2022-08-06T00:00:00"/>
    <n v="239.97"/>
  </r>
  <r>
    <s v="TRX0032"/>
    <x v="108"/>
    <s v="CUST041"/>
    <x v="10"/>
    <s v="P001"/>
    <x v="4"/>
    <x v="0"/>
    <n v="2"/>
    <n v="899.99"/>
    <x v="0"/>
    <x v="2"/>
    <x v="0"/>
    <d v="2021-07-29T00:00:00"/>
    <n v="1799.98"/>
  </r>
  <r>
    <s v="TRX0081"/>
    <x v="109"/>
    <s v="CUST007"/>
    <x v="35"/>
    <s v="P008"/>
    <x v="2"/>
    <x v="2"/>
    <n v="1"/>
    <n v="149.99"/>
    <x v="3"/>
    <x v="4"/>
    <x v="2"/>
    <d v="2023-10-01T00:00:00"/>
    <n v="149.99"/>
  </r>
  <r>
    <s v="TRX0224"/>
    <x v="109"/>
    <s v="CUST031"/>
    <x v="26"/>
    <s v="P007"/>
    <x v="6"/>
    <x v="2"/>
    <n v="2"/>
    <n v="299.99"/>
    <x v="0"/>
    <x v="4"/>
    <x v="1"/>
    <d v="2022-06-12T00:00:00"/>
    <n v="599.98"/>
  </r>
  <r>
    <s v="TRX0028"/>
    <x v="110"/>
    <s v="CUST002"/>
    <x v="25"/>
    <s v="P005"/>
    <x v="1"/>
    <x v="1"/>
    <n v="2"/>
    <n v="59.99"/>
    <x v="0"/>
    <x v="3"/>
    <x v="0"/>
    <d v="2023-09-22T00:00:00"/>
    <n v="119.98"/>
  </r>
  <r>
    <s v="TRX0183"/>
    <x v="111"/>
    <s v="CUST007"/>
    <x v="35"/>
    <s v="P010"/>
    <x v="8"/>
    <x v="0"/>
    <n v="1"/>
    <n v="89.99"/>
    <x v="3"/>
    <x v="0"/>
    <x v="2"/>
    <d v="2022-07-18T00:00:00"/>
    <n v="89.99"/>
  </r>
  <r>
    <s v="TRX0163"/>
    <x v="111"/>
    <s v="CUST019"/>
    <x v="29"/>
    <s v="P001"/>
    <x v="4"/>
    <x v="0"/>
    <n v="5"/>
    <n v="899.99"/>
    <x v="3"/>
    <x v="4"/>
    <x v="2"/>
    <d v="2022-03-05T00:00:00"/>
    <n v="4499.95"/>
  </r>
  <r>
    <s v="TRX0046"/>
    <x v="112"/>
    <s v="CUST003"/>
    <x v="4"/>
    <s v="P008"/>
    <x v="2"/>
    <x v="2"/>
    <n v="2"/>
    <n v="149.99"/>
    <x v="0"/>
    <x v="1"/>
    <x v="0"/>
    <d v="2023-11-09T00:00:00"/>
    <n v="299.98"/>
  </r>
  <r>
    <s v="TRX0164"/>
    <x v="113"/>
    <s v="CUST014"/>
    <x v="21"/>
    <s v="P003"/>
    <x v="3"/>
    <x v="0"/>
    <n v="2"/>
    <n v="149.99"/>
    <x v="3"/>
    <x v="3"/>
    <x v="1"/>
    <d v="2023-12-20T00:00:00"/>
    <n v="299.98"/>
  </r>
  <r>
    <s v="TRX0008"/>
    <x v="113"/>
    <s v="CUST007"/>
    <x v="35"/>
    <s v="P008"/>
    <x v="2"/>
    <x v="2"/>
    <n v="3"/>
    <n v="149.99"/>
    <x v="3"/>
    <x v="2"/>
    <x v="2"/>
    <d v="2021-11-22T00:00:00"/>
    <n v="449.97"/>
  </r>
  <r>
    <s v="TRX0171"/>
    <x v="114"/>
    <s v="CUST021"/>
    <x v="2"/>
    <s v="P007"/>
    <x v="6"/>
    <x v="2"/>
    <n v="2"/>
    <n v="299.99"/>
    <x v="2"/>
    <x v="1"/>
    <x v="0"/>
    <d v="2022-06-09T00:00:00"/>
    <n v="599.98"/>
  </r>
  <r>
    <s v="TRX0143"/>
    <x v="115"/>
    <s v="CUST003"/>
    <x v="4"/>
    <s v="P007"/>
    <x v="6"/>
    <x v="2"/>
    <n v="2"/>
    <n v="299.99"/>
    <x v="0"/>
    <x v="3"/>
    <x v="0"/>
    <d v="2022-07-29T00:00:00"/>
    <n v="599.98"/>
  </r>
  <r>
    <s v="TRX0165"/>
    <x v="115"/>
    <s v="CUST030"/>
    <x v="22"/>
    <s v="P006"/>
    <x v="9"/>
    <x v="2"/>
    <n v="4"/>
    <n v="199.99"/>
    <x v="1"/>
    <x v="0"/>
    <x v="0"/>
    <d v="2021-11-23T00:00:00"/>
    <n v="799.96"/>
  </r>
  <r>
    <s v="TRX0156"/>
    <x v="116"/>
    <s v="CUST009"/>
    <x v="7"/>
    <s v="P010"/>
    <x v="8"/>
    <x v="0"/>
    <n v="1"/>
    <n v="89.99"/>
    <x v="1"/>
    <x v="1"/>
    <x v="1"/>
    <d v="2022-01-30T00:00:00"/>
    <n v="89.99"/>
  </r>
  <r>
    <s v="TRX0147"/>
    <x v="116"/>
    <s v="CUST036"/>
    <x v="20"/>
    <s v="P008"/>
    <x v="2"/>
    <x v="2"/>
    <n v="5"/>
    <n v="149.99"/>
    <x v="0"/>
    <x v="0"/>
    <x v="1"/>
    <d v="2024-02-25T00:00:00"/>
    <n v="749.95"/>
  </r>
  <r>
    <s v="TRX0207"/>
    <x v="117"/>
    <s v="CUST025"/>
    <x v="14"/>
    <s v="P001"/>
    <x v="4"/>
    <x v="0"/>
    <n v="1"/>
    <n v="899.99"/>
    <x v="2"/>
    <x v="2"/>
    <x v="1"/>
    <d v="2023-05-04T00:00:00"/>
    <n v="899.99"/>
  </r>
  <r>
    <s v="TRX0056"/>
    <x v="118"/>
    <s v="CUST019"/>
    <x v="29"/>
    <s v="P010"/>
    <x v="8"/>
    <x v="0"/>
    <n v="2"/>
    <n v="89.99"/>
    <x v="1"/>
    <x v="1"/>
    <x v="1"/>
    <d v="2022-01-03T00:00:00"/>
    <n v="179.98"/>
  </r>
  <r>
    <s v="TRX0026"/>
    <x v="119"/>
    <s v="CUST037"/>
    <x v="48"/>
    <s v="P001"/>
    <x v="4"/>
    <x v="0"/>
    <n v="1"/>
    <n v="899.99"/>
    <x v="2"/>
    <x v="2"/>
    <x v="2"/>
    <d v="2022-07-10T00:00:00"/>
    <n v="899.99"/>
  </r>
  <r>
    <s v="TRX0237"/>
    <x v="120"/>
    <s v="CUST006"/>
    <x v="24"/>
    <s v="P003"/>
    <x v="3"/>
    <x v="0"/>
    <n v="5"/>
    <n v="149.99"/>
    <x v="2"/>
    <x v="4"/>
    <x v="1"/>
    <d v="2022-09-20T00:00:00"/>
    <n v="749.95"/>
  </r>
  <r>
    <s v="TRX0091"/>
    <x v="120"/>
    <s v="CUST003"/>
    <x v="4"/>
    <s v="P007"/>
    <x v="6"/>
    <x v="2"/>
    <n v="3"/>
    <n v="299.99"/>
    <x v="0"/>
    <x v="1"/>
    <x v="2"/>
    <d v="2021-08-14T00:00:00"/>
    <n v="899.97"/>
  </r>
  <r>
    <s v="TRX0125"/>
    <x v="121"/>
    <s v="CUST026"/>
    <x v="8"/>
    <s v="P002"/>
    <x v="5"/>
    <x v="0"/>
    <n v="3"/>
    <n v="699.99"/>
    <x v="1"/>
    <x v="0"/>
    <x v="1"/>
    <d v="2023-06-28T00:00:00"/>
    <n v="2099.9699999999998"/>
  </r>
  <r>
    <s v="TRX0223"/>
    <x v="122"/>
    <s v="CUST036"/>
    <x v="20"/>
    <s v="P006"/>
    <x v="9"/>
    <x v="2"/>
    <n v="5"/>
    <n v="199.99"/>
    <x v="2"/>
    <x v="0"/>
    <x v="2"/>
    <d v="2022-03-13T00:00:00"/>
    <n v="999.95"/>
  </r>
  <r>
    <s v="TRX0243"/>
    <x v="122"/>
    <s v="CUST048"/>
    <x v="16"/>
    <s v="P009"/>
    <x v="0"/>
    <x v="0"/>
    <n v="5"/>
    <n v="249.99"/>
    <x v="1"/>
    <x v="1"/>
    <x v="0"/>
    <d v="2024-02-08T00:00:00"/>
    <n v="1249.95"/>
  </r>
  <r>
    <s v="TRX0084"/>
    <x v="123"/>
    <s v="CUST031"/>
    <x v="26"/>
    <s v="P003"/>
    <x v="3"/>
    <x v="0"/>
    <n v="4"/>
    <n v="149.99"/>
    <x v="3"/>
    <x v="4"/>
    <x v="2"/>
    <d v="2021-12-06T00:00:00"/>
    <n v="599.96"/>
  </r>
  <r>
    <s v="TRX0238"/>
    <x v="123"/>
    <s v="CUST038"/>
    <x v="12"/>
    <s v="P002"/>
    <x v="5"/>
    <x v="0"/>
    <n v="3"/>
    <n v="699.99"/>
    <x v="0"/>
    <x v="2"/>
    <x v="1"/>
    <d v="2022-02-10T00:00:00"/>
    <n v="2099.9699999999998"/>
  </r>
  <r>
    <s v="TRX0102"/>
    <x v="124"/>
    <s v="CUST045"/>
    <x v="46"/>
    <s v="P004"/>
    <x v="7"/>
    <x v="1"/>
    <n v="1"/>
    <n v="79.989999999999995"/>
    <x v="1"/>
    <x v="1"/>
    <x v="0"/>
    <d v="2024-01-31T00:00:00"/>
    <n v="79.989999999999995"/>
  </r>
  <r>
    <s v="TRX0022"/>
    <x v="124"/>
    <s v="CUST025"/>
    <x v="14"/>
    <s v="P007"/>
    <x v="6"/>
    <x v="2"/>
    <n v="1"/>
    <n v="299.99"/>
    <x v="1"/>
    <x v="2"/>
    <x v="0"/>
    <d v="2021-08-28T00:00:00"/>
    <n v="299.99"/>
  </r>
  <r>
    <s v="TRX0087"/>
    <x v="125"/>
    <s v="CUST028"/>
    <x v="32"/>
    <s v="P009"/>
    <x v="0"/>
    <x v="0"/>
    <n v="4"/>
    <n v="249.99"/>
    <x v="1"/>
    <x v="2"/>
    <x v="1"/>
    <d v="2021-09-21T00:00:00"/>
    <n v="999.96"/>
  </r>
  <r>
    <s v="TRX0107"/>
    <x v="125"/>
    <s v="CUST030"/>
    <x v="22"/>
    <s v="P003"/>
    <x v="3"/>
    <x v="0"/>
    <n v="2"/>
    <n v="149.99"/>
    <x v="0"/>
    <x v="2"/>
    <x v="2"/>
    <d v="2022-12-18T00:00:00"/>
    <n v="299.98"/>
  </r>
  <r>
    <s v="TRX0051"/>
    <x v="125"/>
    <s v="CUST032"/>
    <x v="42"/>
    <s v="P007"/>
    <x v="6"/>
    <x v="2"/>
    <n v="3"/>
    <n v="299.99"/>
    <x v="1"/>
    <x v="1"/>
    <x v="0"/>
    <d v="2023-10-05T00:00:00"/>
    <n v="899.97"/>
  </r>
  <r>
    <s v="TRX0106"/>
    <x v="126"/>
    <s v="CUST039"/>
    <x v="40"/>
    <s v="P006"/>
    <x v="9"/>
    <x v="2"/>
    <n v="4"/>
    <n v="199.99"/>
    <x v="3"/>
    <x v="1"/>
    <x v="2"/>
    <d v="2021-12-14T00:00:00"/>
    <n v="799.96"/>
  </r>
  <r>
    <s v="TRX0059"/>
    <x v="126"/>
    <s v="CUST016"/>
    <x v="39"/>
    <s v="P007"/>
    <x v="6"/>
    <x v="2"/>
    <n v="5"/>
    <n v="299.99"/>
    <x v="3"/>
    <x v="0"/>
    <x v="0"/>
    <d v="2021-08-23T00:00:00"/>
    <n v="1499.95"/>
  </r>
  <r>
    <s v="TRX0072"/>
    <x v="126"/>
    <s v="CUST009"/>
    <x v="7"/>
    <s v="P008"/>
    <x v="2"/>
    <x v="2"/>
    <n v="3"/>
    <n v="149.99"/>
    <x v="1"/>
    <x v="4"/>
    <x v="2"/>
    <d v="2021-07-18T00:00:00"/>
    <n v="449.97"/>
  </r>
  <r>
    <s v="TRX0110"/>
    <x v="127"/>
    <s v="CUST006"/>
    <x v="24"/>
    <s v="P005"/>
    <x v="1"/>
    <x v="1"/>
    <n v="5"/>
    <n v="59.99"/>
    <x v="3"/>
    <x v="4"/>
    <x v="0"/>
    <d v="2022-03-22T00:00:00"/>
    <n v="299.95"/>
  </r>
  <r>
    <s v="TRX0126"/>
    <x v="128"/>
    <s v="CUST022"/>
    <x v="9"/>
    <s v="P005"/>
    <x v="1"/>
    <x v="1"/>
    <n v="4"/>
    <n v="59.99"/>
    <x v="3"/>
    <x v="4"/>
    <x v="2"/>
    <d v="2022-01-03T00:00:00"/>
    <n v="239.96"/>
  </r>
  <r>
    <s v="TRX0159"/>
    <x v="129"/>
    <s v="CUST024"/>
    <x v="5"/>
    <s v="P009"/>
    <x v="0"/>
    <x v="0"/>
    <n v="4"/>
    <n v="249.99"/>
    <x v="3"/>
    <x v="0"/>
    <x v="1"/>
    <d v="2023-10-18T00:00:00"/>
    <n v="999.96"/>
  </r>
  <r>
    <s v="TRX0030"/>
    <x v="130"/>
    <s v="CUST011"/>
    <x v="44"/>
    <s v="P001"/>
    <x v="4"/>
    <x v="0"/>
    <n v="4"/>
    <n v="899.99"/>
    <x v="2"/>
    <x v="0"/>
    <x v="0"/>
    <d v="2022-06-22T00:00:00"/>
    <n v="3599.96"/>
  </r>
  <r>
    <s v="TRX0178"/>
    <x v="130"/>
    <s v="CUST025"/>
    <x v="14"/>
    <s v="P007"/>
    <x v="6"/>
    <x v="2"/>
    <n v="3"/>
    <n v="299.99"/>
    <x v="3"/>
    <x v="3"/>
    <x v="2"/>
    <d v="2023-01-26T00:00:00"/>
    <n v="899.97"/>
  </r>
  <r>
    <s v="TRX0188"/>
    <x v="130"/>
    <s v="CUST045"/>
    <x v="46"/>
    <s v="P002"/>
    <x v="5"/>
    <x v="0"/>
    <n v="2"/>
    <n v="699.99"/>
    <x v="3"/>
    <x v="0"/>
    <x v="1"/>
    <d v="2022-04-30T00:00:00"/>
    <n v="1399.98"/>
  </r>
  <r>
    <s v="TRX0010"/>
    <x v="131"/>
    <s v="CUST026"/>
    <x v="8"/>
    <s v="P002"/>
    <x v="5"/>
    <x v="0"/>
    <n v="4"/>
    <n v="699.99"/>
    <x v="3"/>
    <x v="3"/>
    <x v="1"/>
    <d v="2022-05-11T00:00:00"/>
    <n v="2799.96"/>
  </r>
  <r>
    <s v="TRX0069"/>
    <x v="131"/>
    <s v="CUST029"/>
    <x v="23"/>
    <s v="P010"/>
    <x v="8"/>
    <x v="0"/>
    <n v="2"/>
    <n v="89.99"/>
    <x v="3"/>
    <x v="1"/>
    <x v="0"/>
    <d v="2022-08-04T00:00:00"/>
    <n v="179.98"/>
  </r>
  <r>
    <s v="TRX0166"/>
    <x v="131"/>
    <s v="CUST003"/>
    <x v="4"/>
    <s v="P010"/>
    <x v="8"/>
    <x v="0"/>
    <n v="3"/>
    <n v="89.99"/>
    <x v="3"/>
    <x v="1"/>
    <x v="1"/>
    <d v="2024-01-16T00:00:00"/>
    <n v="269.97000000000003"/>
  </r>
  <r>
    <s v="TRX0219"/>
    <x v="132"/>
    <s v="CUST037"/>
    <x v="48"/>
    <s v="P005"/>
    <x v="1"/>
    <x v="1"/>
    <n v="1"/>
    <n v="59.99"/>
    <x v="3"/>
    <x v="0"/>
    <x v="2"/>
    <d v="2023-04-29T00:00:00"/>
    <n v="59.99"/>
  </r>
  <r>
    <s v="TRX0024"/>
    <x v="133"/>
    <s v="CUST042"/>
    <x v="43"/>
    <s v="P008"/>
    <x v="2"/>
    <x v="2"/>
    <n v="3"/>
    <n v="149.99"/>
    <x v="3"/>
    <x v="2"/>
    <x v="1"/>
    <d v="2022-01-03T00:00:00"/>
    <n v="449.97"/>
  </r>
  <r>
    <s v="TRX0105"/>
    <x v="133"/>
    <s v="CUST048"/>
    <x v="16"/>
    <s v="P007"/>
    <x v="6"/>
    <x v="2"/>
    <n v="5"/>
    <n v="299.99"/>
    <x v="1"/>
    <x v="1"/>
    <x v="0"/>
    <d v="2023-02-02T00:00:00"/>
    <n v="1499.95"/>
  </r>
  <r>
    <s v="TRX0011"/>
    <x v="134"/>
    <s v="CUST040"/>
    <x v="30"/>
    <s v="P005"/>
    <x v="1"/>
    <x v="1"/>
    <n v="5"/>
    <n v="59.99"/>
    <x v="3"/>
    <x v="0"/>
    <x v="2"/>
    <d v="2023-09-08T00:00:00"/>
    <n v="299.95"/>
  </r>
  <r>
    <s v="TRX0187"/>
    <x v="135"/>
    <s v="CUST036"/>
    <x v="20"/>
    <s v="P004"/>
    <x v="7"/>
    <x v="1"/>
    <n v="3"/>
    <n v="79.989999999999995"/>
    <x v="0"/>
    <x v="4"/>
    <x v="1"/>
    <d v="2021-08-28T00:00:00"/>
    <n v="239.97"/>
  </r>
  <r>
    <s v="TRX0089"/>
    <x v="136"/>
    <s v="CUST021"/>
    <x v="2"/>
    <s v="P006"/>
    <x v="9"/>
    <x v="2"/>
    <n v="3"/>
    <n v="199.99"/>
    <x v="0"/>
    <x v="0"/>
    <x v="0"/>
    <d v="2022-06-23T00:00:00"/>
    <n v="599.97"/>
  </r>
  <r>
    <s v="TRX0196"/>
    <x v="136"/>
    <s v="CUST023"/>
    <x v="0"/>
    <s v="P010"/>
    <x v="8"/>
    <x v="0"/>
    <n v="2"/>
    <n v="89.99"/>
    <x v="2"/>
    <x v="0"/>
    <x v="0"/>
    <d v="2023-11-27T00:00:00"/>
    <n v="179.98"/>
  </r>
  <r>
    <s v="TRX0118"/>
    <x v="137"/>
    <s v="CUST015"/>
    <x v="45"/>
    <s v="P008"/>
    <x v="2"/>
    <x v="2"/>
    <n v="2"/>
    <n v="149.99"/>
    <x v="0"/>
    <x v="1"/>
    <x v="1"/>
    <d v="2022-06-16T00:00:00"/>
    <n v="299.98"/>
  </r>
  <r>
    <s v="TRX0179"/>
    <x v="138"/>
    <s v="CUST029"/>
    <x v="23"/>
    <s v="P002"/>
    <x v="5"/>
    <x v="0"/>
    <n v="5"/>
    <n v="699.99"/>
    <x v="2"/>
    <x v="1"/>
    <x v="1"/>
    <d v="2024-03-01T00:00:00"/>
    <n v="3499.95"/>
  </r>
  <r>
    <s v="TRX0168"/>
    <x v="138"/>
    <s v="CUST003"/>
    <x v="4"/>
    <s v="P008"/>
    <x v="2"/>
    <x v="2"/>
    <n v="3"/>
    <n v="149.99"/>
    <x v="2"/>
    <x v="0"/>
    <x v="2"/>
    <d v="2022-03-13T00:00:00"/>
    <n v="449.97"/>
  </r>
  <r>
    <s v="TRX0214"/>
    <x v="139"/>
    <s v="CUST018"/>
    <x v="17"/>
    <s v="P001"/>
    <x v="4"/>
    <x v="0"/>
    <n v="3"/>
    <n v="899.99"/>
    <x v="0"/>
    <x v="4"/>
    <x v="2"/>
    <d v="2022-02-21T00:00:00"/>
    <n v="2699.97"/>
  </r>
  <r>
    <s v="TRX0221"/>
    <x v="139"/>
    <s v="CUST033"/>
    <x v="37"/>
    <s v="P006"/>
    <x v="9"/>
    <x v="2"/>
    <n v="3"/>
    <n v="199.99"/>
    <x v="0"/>
    <x v="3"/>
    <x v="1"/>
    <d v="2022-09-19T00:00:00"/>
    <n v="599.97"/>
  </r>
  <r>
    <s v="TRX0083"/>
    <x v="140"/>
    <s v="CUST017"/>
    <x v="6"/>
    <s v="P007"/>
    <x v="6"/>
    <x v="2"/>
    <n v="5"/>
    <n v="299.99"/>
    <x v="0"/>
    <x v="3"/>
    <x v="2"/>
    <d v="2023-08-04T00:00:00"/>
    <n v="1499.95"/>
  </r>
  <r>
    <s v="TRX0151"/>
    <x v="140"/>
    <s v="CUST040"/>
    <x v="30"/>
    <s v="P002"/>
    <x v="5"/>
    <x v="0"/>
    <n v="1"/>
    <n v="699.99"/>
    <x v="2"/>
    <x v="3"/>
    <x v="0"/>
    <d v="2023-01-08T00:00:00"/>
    <n v="699.99"/>
  </r>
  <r>
    <s v="TRX0047"/>
    <x v="141"/>
    <s v="CUST042"/>
    <x v="43"/>
    <s v="P002"/>
    <x v="5"/>
    <x v="0"/>
    <n v="1"/>
    <n v="699.99"/>
    <x v="0"/>
    <x v="2"/>
    <x v="1"/>
    <d v="2022-01-22T00:00:00"/>
    <n v="699.99"/>
  </r>
  <r>
    <s v="TRX0200"/>
    <x v="141"/>
    <s v="CUST037"/>
    <x v="48"/>
    <s v="P008"/>
    <x v="2"/>
    <x v="2"/>
    <n v="4"/>
    <n v="149.99"/>
    <x v="2"/>
    <x v="2"/>
    <x v="1"/>
    <d v="2021-08-04T00:00:00"/>
    <n v="599.96"/>
  </r>
  <r>
    <s v="TRX0062"/>
    <x v="141"/>
    <s v="CUST016"/>
    <x v="39"/>
    <s v="P010"/>
    <x v="8"/>
    <x v="0"/>
    <n v="5"/>
    <n v="89.99"/>
    <x v="2"/>
    <x v="3"/>
    <x v="1"/>
    <d v="2023-08-02T00:00:00"/>
    <n v="449.95"/>
  </r>
  <r>
    <s v="TRX0182"/>
    <x v="142"/>
    <s v="CUST031"/>
    <x v="26"/>
    <s v="P006"/>
    <x v="9"/>
    <x v="2"/>
    <n v="2"/>
    <n v="199.99"/>
    <x v="0"/>
    <x v="0"/>
    <x v="1"/>
    <d v="2022-01-12T00:00:00"/>
    <n v="399.98"/>
  </r>
  <r>
    <s v="TRX0229"/>
    <x v="143"/>
    <s v="CUST015"/>
    <x v="45"/>
    <s v="P005"/>
    <x v="1"/>
    <x v="1"/>
    <n v="4"/>
    <n v="59.99"/>
    <x v="0"/>
    <x v="3"/>
    <x v="2"/>
    <d v="2023-05-24T00:00:00"/>
    <n v="239.96"/>
  </r>
  <r>
    <s v="TRX0048"/>
    <x v="143"/>
    <s v="CUST048"/>
    <x v="16"/>
    <s v="P007"/>
    <x v="6"/>
    <x v="2"/>
    <n v="2"/>
    <n v="299.99"/>
    <x v="2"/>
    <x v="1"/>
    <x v="0"/>
    <d v="2022-01-15T00:00:00"/>
    <n v="599.98"/>
  </r>
  <r>
    <s v="TRX0227"/>
    <x v="144"/>
    <s v="CUST017"/>
    <x v="6"/>
    <s v="P008"/>
    <x v="2"/>
    <x v="2"/>
    <n v="2"/>
    <n v="149.99"/>
    <x v="0"/>
    <x v="0"/>
    <x v="0"/>
    <d v="2023-05-22T00:00:00"/>
    <n v="299.98"/>
  </r>
  <r>
    <s v="TRX0226"/>
    <x v="145"/>
    <s v="CUST039"/>
    <x v="40"/>
    <s v="P002"/>
    <x v="5"/>
    <x v="0"/>
    <n v="5"/>
    <n v="699.99"/>
    <x v="3"/>
    <x v="4"/>
    <x v="1"/>
    <d v="2023-08-23T00:00:00"/>
    <n v="3499.95"/>
  </r>
  <r>
    <s v="TRX0053"/>
    <x v="146"/>
    <s v="CUST043"/>
    <x v="11"/>
    <s v="P005"/>
    <x v="1"/>
    <x v="1"/>
    <n v="5"/>
    <n v="59.99"/>
    <x v="0"/>
    <x v="3"/>
    <x v="1"/>
    <d v="2023-12-31T00:00:00"/>
    <n v="299.95"/>
  </r>
  <r>
    <s v="TRX0233"/>
    <x v="147"/>
    <s v="CUST023"/>
    <x v="0"/>
    <s v="P010"/>
    <x v="8"/>
    <x v="0"/>
    <n v="2"/>
    <n v="89.99"/>
    <x v="1"/>
    <x v="3"/>
    <x v="1"/>
    <d v="2024-01-04T00:00:00"/>
    <n v="179.98"/>
  </r>
  <r>
    <s v="TRX0175"/>
    <x v="147"/>
    <s v="CUST030"/>
    <x v="22"/>
    <s v="P009"/>
    <x v="0"/>
    <x v="0"/>
    <n v="5"/>
    <n v="249.99"/>
    <x v="0"/>
    <x v="4"/>
    <x v="2"/>
    <d v="2021-12-10T00:00:00"/>
    <n v="1249.95"/>
  </r>
  <r>
    <s v="TRX0186"/>
    <x v="148"/>
    <s v="CUST039"/>
    <x v="40"/>
    <s v="P008"/>
    <x v="2"/>
    <x v="2"/>
    <n v="2"/>
    <n v="149.99"/>
    <x v="2"/>
    <x v="0"/>
    <x v="1"/>
    <d v="2022-03-12T00:00:00"/>
    <n v="299.98"/>
  </r>
  <r>
    <s v="TRX0016"/>
    <x v="148"/>
    <s v="CUST035"/>
    <x v="28"/>
    <s v="P001"/>
    <x v="4"/>
    <x v="0"/>
    <n v="5"/>
    <n v="899.99"/>
    <x v="2"/>
    <x v="4"/>
    <x v="1"/>
    <d v="2024-04-07T00:00:00"/>
    <n v="4499.95"/>
  </r>
  <r>
    <s v="TRX0199"/>
    <x v="148"/>
    <s v="CUST017"/>
    <x v="6"/>
    <s v="P008"/>
    <x v="2"/>
    <x v="2"/>
    <n v="4"/>
    <n v="149.99"/>
    <x v="0"/>
    <x v="0"/>
    <x v="2"/>
    <d v="2023-12-03T00:00:00"/>
    <n v="599.96"/>
  </r>
  <r>
    <s v="TRX0038"/>
    <x v="149"/>
    <s v="CUST035"/>
    <x v="28"/>
    <s v="P009"/>
    <x v="0"/>
    <x v="0"/>
    <n v="1"/>
    <n v="249.99"/>
    <x v="0"/>
    <x v="2"/>
    <x v="2"/>
    <d v="2023-07-10T00:00:00"/>
    <n v="249.99"/>
  </r>
  <r>
    <s v="TRX0014"/>
    <x v="150"/>
    <s v="CUST033"/>
    <x v="37"/>
    <s v="P005"/>
    <x v="1"/>
    <x v="1"/>
    <n v="2"/>
    <n v="59.99"/>
    <x v="1"/>
    <x v="3"/>
    <x v="0"/>
    <d v="2023-09-24T00:00:00"/>
    <n v="119.98"/>
  </r>
  <r>
    <s v="TRX0003"/>
    <x v="151"/>
    <s v="CUST002"/>
    <x v="25"/>
    <s v="P008"/>
    <x v="2"/>
    <x v="2"/>
    <n v="2"/>
    <n v="149.99"/>
    <x v="0"/>
    <x v="3"/>
    <x v="1"/>
    <d v="2023-11-03T00:00:00"/>
    <n v="299.98"/>
  </r>
  <r>
    <s v="TRX0124"/>
    <x v="151"/>
    <s v="CUST040"/>
    <x v="30"/>
    <s v="P001"/>
    <x v="4"/>
    <x v="0"/>
    <n v="3"/>
    <n v="899.99"/>
    <x v="3"/>
    <x v="2"/>
    <x v="1"/>
    <d v="2022-11-11T00:00:00"/>
    <n v="2699.97"/>
  </r>
  <r>
    <s v="TRX0013"/>
    <x v="151"/>
    <s v="CUST024"/>
    <x v="5"/>
    <s v="P001"/>
    <x v="4"/>
    <x v="0"/>
    <n v="3"/>
    <n v="899.99"/>
    <x v="2"/>
    <x v="2"/>
    <x v="0"/>
    <d v="2023-02-18T00:00:00"/>
    <n v="2699.97"/>
  </r>
  <r>
    <s v="TRX0019"/>
    <x v="152"/>
    <s v="CUST023"/>
    <x v="0"/>
    <s v="P007"/>
    <x v="6"/>
    <x v="2"/>
    <n v="3"/>
    <n v="299.99"/>
    <x v="1"/>
    <x v="3"/>
    <x v="1"/>
    <d v="2023-11-04T00:00:00"/>
    <n v="899.97"/>
  </r>
  <r>
    <s v="TRX0050"/>
    <x v="153"/>
    <s v="CUST001"/>
    <x v="49"/>
    <s v="P008"/>
    <x v="2"/>
    <x v="2"/>
    <n v="4"/>
    <n v="149.99"/>
    <x v="2"/>
    <x v="3"/>
    <x v="2"/>
    <d v="2021-12-30T00:00:00"/>
    <n v="599.96"/>
  </r>
  <r>
    <s v="TRX0152"/>
    <x v="154"/>
    <s v="CUST044"/>
    <x v="19"/>
    <s v="P004"/>
    <x v="7"/>
    <x v="1"/>
    <n v="4"/>
    <n v="79.989999999999995"/>
    <x v="1"/>
    <x v="0"/>
    <x v="0"/>
    <d v="2023-12-28T00:00:00"/>
    <n v="319.95999999999998"/>
  </r>
  <r>
    <s v="TRX0213"/>
    <x v="155"/>
    <s v="CUST020"/>
    <x v="36"/>
    <s v="P010"/>
    <x v="8"/>
    <x v="0"/>
    <n v="5"/>
    <n v="89.99"/>
    <x v="2"/>
    <x v="1"/>
    <x v="0"/>
    <d v="2022-05-23T00:00:00"/>
    <n v="449.95"/>
  </r>
  <r>
    <s v="TRX0197"/>
    <x v="156"/>
    <s v="CUST048"/>
    <x v="16"/>
    <s v="P008"/>
    <x v="2"/>
    <x v="2"/>
    <n v="3"/>
    <n v="149.99"/>
    <x v="2"/>
    <x v="0"/>
    <x v="2"/>
    <d v="2023-09-02T00:00:00"/>
    <n v="449.97"/>
  </r>
  <r>
    <s v="TRX0250"/>
    <x v="156"/>
    <s v="CUST026"/>
    <x v="8"/>
    <s v="P010"/>
    <x v="8"/>
    <x v="0"/>
    <n v="2"/>
    <n v="89.99"/>
    <x v="3"/>
    <x v="3"/>
    <x v="1"/>
    <d v="2021-11-22T00:00:00"/>
    <n v="179.98"/>
  </r>
  <r>
    <s v="TRX0068"/>
    <x v="157"/>
    <s v="CUST044"/>
    <x v="19"/>
    <s v="P002"/>
    <x v="5"/>
    <x v="0"/>
    <n v="2"/>
    <n v="699.99"/>
    <x v="2"/>
    <x v="2"/>
    <x v="2"/>
    <d v="2022-02-26T00:00:00"/>
    <n v="1399.98"/>
  </r>
  <r>
    <s v="TRX0144"/>
    <x v="158"/>
    <s v="CUST029"/>
    <x v="23"/>
    <s v="P001"/>
    <x v="4"/>
    <x v="0"/>
    <n v="3"/>
    <n v="899.99"/>
    <x v="0"/>
    <x v="0"/>
    <x v="2"/>
    <d v="2023-01-27T00:00:00"/>
    <n v="2699.97"/>
  </r>
  <r>
    <s v="TRX0039"/>
    <x v="159"/>
    <s v="CUST048"/>
    <x v="16"/>
    <s v="P004"/>
    <x v="7"/>
    <x v="1"/>
    <n v="3"/>
    <n v="79.989999999999995"/>
    <x v="1"/>
    <x v="2"/>
    <x v="0"/>
    <d v="2021-11-11T00:00:00"/>
    <n v="239.97"/>
  </r>
  <r>
    <s v="TRX0116"/>
    <x v="160"/>
    <s v="CUST009"/>
    <x v="7"/>
    <s v="P010"/>
    <x v="8"/>
    <x v="0"/>
    <n v="1"/>
    <n v="89.99"/>
    <x v="3"/>
    <x v="4"/>
    <x v="0"/>
    <d v="2024-02-24T00:00:00"/>
    <n v="89.99"/>
  </r>
  <r>
    <s v="TRX0120"/>
    <x v="161"/>
    <s v="CUST045"/>
    <x v="46"/>
    <s v="P002"/>
    <x v="5"/>
    <x v="0"/>
    <n v="3"/>
    <n v="699.99"/>
    <x v="2"/>
    <x v="2"/>
    <x v="0"/>
    <d v="2022-12-14T00:00:00"/>
    <n v="2099.9699999999998"/>
  </r>
  <r>
    <s v="TRX0103"/>
    <x v="161"/>
    <s v="CUST039"/>
    <x v="40"/>
    <s v="P010"/>
    <x v="8"/>
    <x v="0"/>
    <n v="2"/>
    <n v="89.99"/>
    <x v="3"/>
    <x v="4"/>
    <x v="0"/>
    <d v="2023-06-11T00:00:00"/>
    <n v="179.98"/>
  </r>
  <r>
    <s v="TRX0064"/>
    <x v="161"/>
    <s v="CUST031"/>
    <x v="26"/>
    <s v="P010"/>
    <x v="8"/>
    <x v="0"/>
    <n v="3"/>
    <n v="89.99"/>
    <x v="3"/>
    <x v="2"/>
    <x v="1"/>
    <d v="2022-11-13T00:00:00"/>
    <n v="269.97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8" useAutoFormatting="1" compact="0" indent="0" compactData="0" showDrill="1" multipleFieldFilters="0">
  <location ref="Q5:R9" firstHeaderRow="1" firstDataRow="1" firstDataCol="1"/>
  <pivotFields count="16">
    <pivotField compact="0" outline="0" showAll="0"/>
    <pivotField compact="0" outline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numFmtId="176" showAll="0"/>
    <pivotField dataField="1" compact="0" outline="0" showAll="0"/>
    <pivotField compact="0" defaultSubtotal="0" outline="0" showAll="0">
      <items count="6">
        <item x="0"/>
        <item x="1"/>
        <item x="2"/>
        <item x="3"/>
        <item x="4"/>
        <item x="5"/>
      </items>
    </pivotField>
    <pivotField compact="0" defaultSubtotal="0" outline="0" showAll="0">
      <items count="4">
        <item x="0"/>
        <item x="1"/>
        <item x="2"/>
        <item x="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8" useAutoFormatting="1" compact="0" indent="0" compactData="0" showDrill="1" multipleFieldFilters="0">
  <location ref="H5:I11" firstHeaderRow="1" firstDataRow="1" firstDataCol="1"/>
  <pivotFields count="16">
    <pivotField compact="0" outline="0" showAll="0"/>
    <pivotField compact="0" outline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numFmtId="176" showAll="0"/>
    <pivotField compact="0" outline="0" showAll="0"/>
    <pivotField compact="0" defaultSubtotal="0" outline="0" showAll="0">
      <items count="6">
        <item x="0"/>
        <item x="1"/>
        <item x="2"/>
        <item x="3"/>
        <item x="4"/>
        <item x="5"/>
      </items>
    </pivotField>
    <pivotField compact="0" defaultSubtotal="0" outline="0" showAll="0">
      <items count="4">
        <item x="0"/>
        <item x="1"/>
        <item x="2"/>
        <item x="3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7" baseField="0" baseItem="0"/>
  </dataFields>
  <pivotTableStyleInfo name="PivotStyleLight1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8" useAutoFormatting="1" compact="0" indent="0" compactData="0" showDrill="1" multipleFieldFilters="0">
  <location ref="T20:U31" firstHeaderRow="1" firstDataRow="1" firstDataCol="1"/>
  <pivotFields count="16">
    <pivotField compact="0" outline="0" showAll="0"/>
    <pivotField compact="0" outline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numFmtId="176" showAll="0"/>
    <pivotField dataField="1" compact="0" outline="0" showAll="0"/>
    <pivotField compact="0" defaultSubtotal="0" outline="0" showAll="0">
      <items count="6">
        <item x="0"/>
        <item x="1"/>
        <item x="2"/>
        <item x="3"/>
        <item x="4"/>
        <item x="5"/>
      </items>
    </pivotField>
    <pivotField compact="0" defaultSubtotal="0" outline="0" showAll="0">
      <items count="4">
        <item x="0"/>
        <item x="1"/>
        <item x="2"/>
        <item x="3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3" baseField="0" baseItem="0"/>
  </dataFields>
  <pivotTableStyleInfo name="PivotStyleMedium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8" useAutoFormatting="1" compact="0" indent="0" compactData="0" showDrill="1" multipleFieldFilters="0">
  <location ref="I21:J27" firstHeaderRow="1" firstDataRow="1" firstDataCol="1"/>
  <pivotFields count="16">
    <pivotField compact="0" outline="0" showAll="0"/>
    <pivotField compact="0" outline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numFmtId="176" showAll="0"/>
    <pivotField dataField="1" compact="0" outline="0" showAll="0"/>
    <pivotField compact="0" defaultSubtotal="0" outline="0" showAll="0">
      <items count="6">
        <item x="0"/>
        <item x="1"/>
        <item x="2"/>
        <item x="3"/>
        <item x="4"/>
        <item x="5"/>
      </items>
    </pivotField>
    <pivotField compact="0" defaultSubtotal="0" outline="0" showAll="0">
      <items count="4">
        <item x="0"/>
        <item x="1"/>
        <item x="2"/>
        <item x="3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3" baseField="0" baseItem="0"/>
  </dataFields>
  <pivotTableStyleInfo name="PivotStyleMedium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8" useAutoFormatting="1" compact="0" indent="0" compactData="0" showDrill="1" multipleFieldFilters="0" chartFormat="5">
  <location ref="A3:B9" firstHeaderRow="1" firstDataRow="1" firstDataCol="1"/>
  <pivotFields count="16">
    <pivotField compact="0" outline="0" showAll="0"/>
    <pivotField compact="0" outline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numFmtId="176" showAll="0"/>
    <pivotField compact="0" outline="0" showAll="0"/>
    <pivotField compact="0" defaultSubtotal="0" outline="0" showAll="0">
      <items count="6">
        <item x="0"/>
        <item x="1"/>
        <item x="2"/>
        <item x="3"/>
        <item x="4"/>
        <item x="5"/>
      </items>
    </pivotField>
    <pivotField compact="0" defaultSubtotal="0" outline="0" showAll="0">
      <items count="4">
        <item x="0"/>
        <item x="1"/>
        <item x="2"/>
        <item x="3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7" baseField="0" baseItem="0"/>
  </dataFields>
  <pivotTableStyleInfo name="PivotStyleLight1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8" useAutoFormatting="1" compact="0" indent="0" compactData="0" showDrill="1" multipleFieldFilters="0" chartFormat="8">
  <location ref="A3:B7" firstHeaderRow="1" firstDataRow="1" firstDataCol="1"/>
  <pivotFields count="16">
    <pivotField compact="0" outline="0" showAll="0"/>
    <pivotField compact="0" outline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numFmtId="176" showAll="0"/>
    <pivotField dataField="1" compact="0" outline="0" showAll="0"/>
    <pivotField compact="0" defaultSubtotal="0" outline="0" showAll="0">
      <items count="6">
        <item x="0"/>
        <item x="1"/>
        <item x="2"/>
        <item x="3"/>
        <item x="4"/>
        <item x="5"/>
      </items>
    </pivotField>
    <pivotField compact="0" defaultSubtotal="0" outline="0" showAll="0">
      <items count="4">
        <item x="0"/>
        <item x="1"/>
        <item x="2"/>
        <item x="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8" useAutoFormatting="1" compact="0" indent="0" compactData="0" showDrill="1" multipleFieldFilters="0" chartFormat="5">
  <location ref="A3:B9" firstHeaderRow="1" firstDataRow="1" firstDataCol="1"/>
  <pivotFields count="16">
    <pivotField compact="0" outline="0" showAll="0"/>
    <pivotField compact="0" outline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numFmtId="176" showAll="0"/>
    <pivotField dataField="1" compact="0" outline="0" showAll="0"/>
    <pivotField compact="0" defaultSubtotal="0" outline="0" showAll="0">
      <items count="6">
        <item x="0"/>
        <item x="1"/>
        <item x="2"/>
        <item x="3"/>
        <item x="4"/>
        <item x="5"/>
      </items>
    </pivotField>
    <pivotField compact="0" defaultSubtotal="0" outline="0" showAll="0">
      <items count="4">
        <item x="0"/>
        <item x="1"/>
        <item x="2"/>
        <item x="3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3" baseField="0" baseItem="0"/>
  </dataFields>
  <pivotTableStyleInfo name="PivotStyleMedium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8" useAutoFormatting="1" compact="0" indent="0" compactData="0" showDrill="1" multipleFieldFilters="0" chartFormat="8">
  <location ref="A3:B14" firstHeaderRow="1" firstDataRow="1" firstDataCol="1"/>
  <pivotFields count="16">
    <pivotField compact="0" outline="0" showAll="0"/>
    <pivotField compact="0" outline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numFmtId="176" showAll="0"/>
    <pivotField dataField="1" compact="0" outline="0" showAll="0"/>
    <pivotField compact="0" defaultSubtotal="0" outline="0" showAll="0">
      <items count="6">
        <item x="0"/>
        <item x="1"/>
        <item x="2"/>
        <item x="3"/>
        <item x="4"/>
        <item x="5"/>
      </items>
    </pivotField>
    <pivotField compact="0" defaultSubtotal="0" outline="0" showAll="0">
      <items count="4">
        <item x="0"/>
        <item x="1"/>
        <item x="2"/>
        <item x="3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3" baseField="0" baseItem="0"/>
  </dataFields>
  <pivotTableStyleInfo name="PivotStyleMedium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251" totalsRowShown="0">
  <autoFilter xmlns:etc="http://www.wps.cn/officeDocument/2017/etCustomData" ref="A1:P251" etc:filterBottomFollowUsedRange="0"/>
  <tableColumns count="16">
    <tableColumn id="1" name="Transaction_ID" dataDxfId="0"/>
    <tableColumn id="2" name="Date" dataDxfId="1"/>
    <tableColumn id="3" name="Customer_ID" dataDxfId="2"/>
    <tableColumn id="4" name="Customer_Name" dataDxfId="3"/>
    <tableColumn id="5" name="Product_ID" dataDxfId="4"/>
    <tableColumn id="6" name="Product_Name" dataDxfId="5"/>
    <tableColumn id="7" name="Category" dataDxfId="6"/>
    <tableColumn id="8" name="Quantity" dataDxfId="7"/>
    <tableColumn id="9" name="Unit_Price" dataDxfId="8"/>
    <tableColumn id="10" name="Payment_Method" dataDxfId="9"/>
    <tableColumn id="11" name="Region" dataDxfId="10"/>
    <tableColumn id="12" name="Customer_Segment" dataDxfId="11"/>
    <tableColumn id="13" name="Customer_Since" dataDxfId="12"/>
    <tableColumn id="14" name="Sales" dataDxfId="13"/>
    <tableColumn id="18" name="Month" dataDxfId="14">
      <calculatedColumnFormula>MONTH(Table1[[#This Row],[Date]])</calculatedColumnFormula>
    </tableColumn>
    <tableColumn id="19" name="Year" dataDxfId="15">
      <calculatedColumnFormula>YEAR(Table1[[#This Row],[Date]])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7" sqref="A7"/>
    </sheetView>
  </sheetViews>
  <sheetFormatPr defaultColWidth="14.4285714285714" defaultRowHeight="15" customHeight="1"/>
  <cols>
    <col min="1" max="1" width="94.8571428571429" style="51" customWidth="1"/>
    <col min="2" max="25" width="8.71428571428571" style="51" customWidth="1"/>
  </cols>
  <sheetData>
    <row r="1" spans="1:1">
      <c r="A1" s="62" t="s">
        <v>0</v>
      </c>
    </row>
    <row r="2" spans="1:1">
      <c r="A2" s="63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0"/>
  <sheetViews>
    <sheetView showGridLines="0" tabSelected="1" topLeftCell="A13" workbookViewId="0">
      <selection activeCell="I31" sqref="I31"/>
    </sheetView>
  </sheetViews>
  <sheetFormatPr defaultColWidth="9" defaultRowHeight="15" customHeight="1"/>
  <cols>
    <col min="8" max="8" width="11.2857142857143" customWidth="1"/>
    <col min="9" max="9" width="15.4285714285714" customWidth="1"/>
    <col min="10" max="10" width="12.1428571428571" customWidth="1"/>
    <col min="13" max="13" width="17.1428571428571" customWidth="1"/>
    <col min="14" max="14" width="11.8571428571429" customWidth="1"/>
    <col min="17" max="17" width="11.2857142857143" customWidth="1"/>
    <col min="18" max="18" width="12.1428571428571" customWidth="1"/>
    <col min="20" max="20" width="16.5714285714286" customWidth="1"/>
    <col min="21" max="21" width="12.1428571428571" customWidth="1"/>
  </cols>
  <sheetData>
    <row r="1" customHeight="1" spans="1:26">
      <c r="A1" s="59" t="s">
        <v>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Height="1" spans="1:26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customHeight="1" spans="1:26">
      <c r="A3" s="59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customHeight="1" spans="1:26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customHeight="1" spans="1:26">
      <c r="A5" s="61"/>
      <c r="B5" s="61"/>
      <c r="C5" s="61"/>
      <c r="D5" s="61"/>
      <c r="E5" s="61"/>
      <c r="F5" s="61"/>
      <c r="G5" s="61"/>
      <c r="H5" t="s">
        <v>3</v>
      </c>
      <c r="I5" t="s">
        <v>4</v>
      </c>
      <c r="J5" s="61"/>
      <c r="K5" s="61"/>
      <c r="L5" s="61"/>
      <c r="M5" s="61"/>
      <c r="N5" s="61"/>
      <c r="O5" s="61"/>
      <c r="P5" s="61"/>
      <c r="Q5" t="s">
        <v>5</v>
      </c>
      <c r="R5" t="s">
        <v>6</v>
      </c>
      <c r="S5" s="61"/>
      <c r="T5" s="61"/>
      <c r="U5" s="61"/>
      <c r="V5" s="61"/>
      <c r="W5" s="61"/>
      <c r="X5" s="61"/>
      <c r="Y5" s="61"/>
      <c r="Z5" s="61"/>
    </row>
    <row r="6" customHeight="1" spans="1:26">
      <c r="A6" s="61"/>
      <c r="B6" s="61"/>
      <c r="C6" s="61"/>
      <c r="D6" s="61"/>
      <c r="E6" s="61"/>
      <c r="F6" s="61"/>
      <c r="G6" s="61"/>
      <c r="H6" t="s">
        <v>7</v>
      </c>
      <c r="I6" s="58">
        <v>166</v>
      </c>
      <c r="J6" s="61"/>
      <c r="K6" s="61"/>
      <c r="L6" s="61"/>
      <c r="M6" s="61"/>
      <c r="N6" s="61"/>
      <c r="O6" s="61"/>
      <c r="P6" s="61"/>
      <c r="Q6" t="s">
        <v>8</v>
      </c>
      <c r="R6" s="58">
        <v>8338.74</v>
      </c>
      <c r="S6" s="61"/>
      <c r="T6" s="61"/>
      <c r="U6" s="61"/>
      <c r="V6" s="61"/>
      <c r="W6" s="61"/>
      <c r="X6" s="61"/>
      <c r="Y6" s="61"/>
      <c r="Z6" s="61"/>
    </row>
    <row r="7" customHeight="1" spans="1:26">
      <c r="A7" s="61"/>
      <c r="B7" s="61"/>
      <c r="C7" s="61"/>
      <c r="D7" s="61"/>
      <c r="E7" s="61"/>
      <c r="F7" s="61"/>
      <c r="G7" s="61"/>
      <c r="H7" t="s">
        <v>9</v>
      </c>
      <c r="I7" s="58">
        <v>161</v>
      </c>
      <c r="J7" s="61"/>
      <c r="K7" s="61"/>
      <c r="L7" s="61"/>
      <c r="M7" s="61"/>
      <c r="N7" s="61"/>
      <c r="O7" s="61"/>
      <c r="P7" s="61"/>
      <c r="Q7" t="s">
        <v>10</v>
      </c>
      <c r="R7" s="58">
        <v>171756.05</v>
      </c>
      <c r="S7" s="61"/>
      <c r="T7" s="61"/>
      <c r="U7" s="61"/>
      <c r="V7" s="61"/>
      <c r="W7" s="61"/>
      <c r="X7" s="61"/>
      <c r="Y7" s="61"/>
      <c r="Z7" s="61"/>
    </row>
    <row r="8" customHeight="1" spans="1:26">
      <c r="A8" s="61"/>
      <c r="B8" s="61"/>
      <c r="C8" s="61"/>
      <c r="D8" s="61"/>
      <c r="E8" s="61"/>
      <c r="F8" s="61"/>
      <c r="G8" s="61"/>
      <c r="H8" t="s">
        <v>11</v>
      </c>
      <c r="I8" s="58">
        <v>169</v>
      </c>
      <c r="J8" s="61"/>
      <c r="K8" s="61"/>
      <c r="L8" s="61"/>
      <c r="M8" s="61"/>
      <c r="N8" s="61"/>
      <c r="O8" s="61"/>
      <c r="P8" s="61"/>
      <c r="Q8" t="s">
        <v>12</v>
      </c>
      <c r="R8" s="58">
        <v>49097.68</v>
      </c>
      <c r="S8" s="61"/>
      <c r="T8" s="61"/>
      <c r="U8" s="61"/>
      <c r="V8" s="61"/>
      <c r="W8" s="61"/>
      <c r="X8" s="61"/>
      <c r="Y8" s="61"/>
      <c r="Z8" s="61"/>
    </row>
    <row r="9" customHeight="1" spans="1:26">
      <c r="A9" s="61"/>
      <c r="B9" s="61"/>
      <c r="C9" s="61"/>
      <c r="D9" s="61"/>
      <c r="E9" s="61"/>
      <c r="F9" s="61"/>
      <c r="G9" s="61"/>
      <c r="H9" t="s">
        <v>13</v>
      </c>
      <c r="I9" s="58">
        <v>125</v>
      </c>
      <c r="J9" s="61"/>
      <c r="K9" s="61"/>
      <c r="L9" s="61"/>
      <c r="M9" s="61"/>
      <c r="N9" s="61"/>
      <c r="O9" s="61"/>
      <c r="P9" s="61"/>
      <c r="Q9" t="s">
        <v>14</v>
      </c>
      <c r="R9" s="58">
        <v>229192.47</v>
      </c>
      <c r="S9" s="61"/>
      <c r="T9" s="61"/>
      <c r="U9" s="61"/>
      <c r="V9" s="61"/>
      <c r="W9" s="61"/>
      <c r="X9" s="61"/>
      <c r="Y9" s="61"/>
      <c r="Z9" s="61"/>
    </row>
    <row r="10" customHeight="1" spans="1:26">
      <c r="A10" s="61"/>
      <c r="B10" s="61"/>
      <c r="C10" s="61"/>
      <c r="D10" s="61"/>
      <c r="E10" s="61"/>
      <c r="F10" s="61"/>
      <c r="G10" s="61"/>
      <c r="H10" t="s">
        <v>15</v>
      </c>
      <c r="I10" s="58">
        <v>132</v>
      </c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customHeight="1" spans="1:26">
      <c r="A11" s="61"/>
      <c r="B11" s="61"/>
      <c r="C11" s="61"/>
      <c r="D11" s="61"/>
      <c r="E11" s="61"/>
      <c r="F11" s="61"/>
      <c r="G11" s="61"/>
      <c r="H11" t="s">
        <v>14</v>
      </c>
      <c r="I11" s="58">
        <v>753</v>
      </c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customHeight="1" spans="1:26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customHeight="1" spans="1:26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customHeight="1" spans="1:26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customHeight="1" spans="1:26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customHeight="1" spans="1:26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customHeight="1" spans="1:26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customHeight="1" spans="1:26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customHeight="1" spans="1:26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customHeight="1" spans="1:26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t="s">
        <v>16</v>
      </c>
      <c r="U20" t="s">
        <v>6</v>
      </c>
      <c r="V20" s="61"/>
      <c r="W20" s="61"/>
      <c r="X20" s="61"/>
      <c r="Y20" s="61"/>
      <c r="Z20" s="61"/>
    </row>
    <row r="21" customHeight="1" spans="1:26">
      <c r="A21" s="61"/>
      <c r="B21" s="61"/>
      <c r="C21" s="61"/>
      <c r="D21" s="61"/>
      <c r="E21" s="61"/>
      <c r="F21" s="61"/>
      <c r="G21" s="61"/>
      <c r="H21" s="61"/>
      <c r="I21" t="s">
        <v>3</v>
      </c>
      <c r="J21" t="s">
        <v>6</v>
      </c>
      <c r="K21" s="61"/>
      <c r="L21" s="61"/>
      <c r="M21" s="61"/>
      <c r="N21" s="61"/>
      <c r="O21" s="61"/>
      <c r="P21" s="61"/>
      <c r="Q21" s="61"/>
      <c r="R21" s="61"/>
      <c r="S21" s="61"/>
      <c r="T21" t="s">
        <v>17</v>
      </c>
      <c r="U21" s="58">
        <v>5219.13</v>
      </c>
      <c r="V21" s="61"/>
      <c r="W21" s="61"/>
      <c r="X21" s="61"/>
      <c r="Y21" s="61"/>
      <c r="Z21" s="61"/>
    </row>
    <row r="22" customHeight="1" spans="1:26">
      <c r="A22" s="61"/>
      <c r="B22" s="61"/>
      <c r="C22" s="61"/>
      <c r="D22" s="61"/>
      <c r="E22" s="61"/>
      <c r="F22" s="61"/>
      <c r="G22" s="61"/>
      <c r="H22" s="61"/>
      <c r="I22" t="s">
        <v>7</v>
      </c>
      <c r="J22" s="58">
        <v>41288.34</v>
      </c>
      <c r="K22" s="61"/>
      <c r="L22" s="61"/>
      <c r="M22" s="61"/>
      <c r="N22" s="61"/>
      <c r="O22" s="61"/>
      <c r="P22" s="61"/>
      <c r="Q22" s="61"/>
      <c r="R22" s="61"/>
      <c r="S22" s="61"/>
      <c r="T22" t="s">
        <v>18</v>
      </c>
      <c r="U22" s="58">
        <v>15298.98</v>
      </c>
      <c r="V22" s="61"/>
      <c r="W22" s="61"/>
      <c r="X22" s="61"/>
      <c r="Y22" s="61"/>
      <c r="Z22" s="61"/>
    </row>
    <row r="23" customHeight="1" spans="1:26">
      <c r="A23" s="61"/>
      <c r="B23" s="61"/>
      <c r="C23" s="61"/>
      <c r="D23" s="61"/>
      <c r="E23" s="61"/>
      <c r="F23" s="61"/>
      <c r="G23" s="61"/>
      <c r="H23" s="61"/>
      <c r="I23" t="s">
        <v>9</v>
      </c>
      <c r="J23" s="58">
        <v>59288.39</v>
      </c>
      <c r="K23" s="61"/>
      <c r="L23" s="61"/>
      <c r="M23" s="61"/>
      <c r="N23" s="61"/>
      <c r="O23" s="61"/>
      <c r="P23" s="61"/>
      <c r="Q23" s="61"/>
      <c r="R23" s="61"/>
      <c r="S23" s="61"/>
      <c r="T23" t="s">
        <v>19</v>
      </c>
      <c r="U23" s="58">
        <v>3119.61</v>
      </c>
      <c r="V23" s="61"/>
      <c r="W23" s="61"/>
      <c r="X23" s="61"/>
      <c r="Y23" s="61"/>
      <c r="Z23" s="61"/>
    </row>
    <row r="24" customHeight="1" spans="1:26">
      <c r="A24" s="61"/>
      <c r="B24" s="61"/>
      <c r="C24" s="61"/>
      <c r="D24" s="61"/>
      <c r="E24" s="61"/>
      <c r="F24" s="61"/>
      <c r="G24" s="61"/>
      <c r="H24" s="61"/>
      <c r="I24" t="s">
        <v>11</v>
      </c>
      <c r="J24" s="58">
        <v>50808.31</v>
      </c>
      <c r="K24" s="61"/>
      <c r="L24" s="61"/>
      <c r="M24" s="61"/>
      <c r="N24" s="61"/>
      <c r="O24" s="61"/>
      <c r="P24" s="61"/>
      <c r="Q24" s="61"/>
      <c r="R24" s="61"/>
      <c r="S24" s="61"/>
      <c r="T24" t="s">
        <v>20</v>
      </c>
      <c r="U24" s="58">
        <v>23399.22</v>
      </c>
      <c r="V24" s="61"/>
      <c r="W24" s="61"/>
      <c r="X24" s="61"/>
      <c r="Y24" s="61"/>
      <c r="Z24" s="61"/>
    </row>
    <row r="25" customHeight="1" spans="1:26">
      <c r="A25" s="61"/>
      <c r="B25" s="61"/>
      <c r="C25" s="61"/>
      <c r="D25" s="61"/>
      <c r="E25" s="61"/>
      <c r="F25" s="61"/>
      <c r="G25" s="61"/>
      <c r="H25" s="61"/>
      <c r="I25" t="s">
        <v>13</v>
      </c>
      <c r="J25" s="58">
        <v>36398.75</v>
      </c>
      <c r="K25" s="61"/>
      <c r="L25" s="61"/>
      <c r="M25" s="61"/>
      <c r="N25" s="61"/>
      <c r="O25" s="61"/>
      <c r="P25" s="61"/>
      <c r="Q25" s="61"/>
      <c r="R25" s="61"/>
      <c r="S25" s="61"/>
      <c r="T25" t="s">
        <v>21</v>
      </c>
      <c r="U25" s="58">
        <v>7049.53</v>
      </c>
      <c r="V25" s="61"/>
      <c r="W25" s="61"/>
      <c r="X25" s="61"/>
      <c r="Y25" s="61"/>
      <c r="Z25" s="61"/>
    </row>
    <row r="26" customHeight="1" spans="1:26">
      <c r="A26" s="61"/>
      <c r="B26" s="61"/>
      <c r="C26" s="61"/>
      <c r="D26" s="61"/>
      <c r="E26" s="61"/>
      <c r="F26" s="61"/>
      <c r="G26" s="61"/>
      <c r="H26" s="61"/>
      <c r="I26" t="s">
        <v>15</v>
      </c>
      <c r="J26" s="58">
        <v>41408.68</v>
      </c>
      <c r="K26" s="61"/>
      <c r="L26" s="61"/>
      <c r="M26" s="61"/>
      <c r="N26" s="61"/>
      <c r="O26" s="61"/>
      <c r="P26" s="61"/>
      <c r="Q26" s="61"/>
      <c r="R26" s="61"/>
      <c r="S26" s="61"/>
      <c r="T26" t="s">
        <v>22</v>
      </c>
      <c r="U26" s="58">
        <v>8009.11</v>
      </c>
      <c r="V26" s="61"/>
      <c r="W26" s="61"/>
      <c r="X26" s="61"/>
      <c r="Y26" s="61"/>
      <c r="Z26" s="61"/>
    </row>
    <row r="27" customHeight="1" spans="1:26">
      <c r="A27" s="61"/>
      <c r="B27" s="61"/>
      <c r="C27" s="61"/>
      <c r="D27" s="61"/>
      <c r="E27" s="61"/>
      <c r="F27" s="61"/>
      <c r="G27" s="61"/>
      <c r="H27" s="61"/>
      <c r="I27" t="s">
        <v>14</v>
      </c>
      <c r="J27" s="58">
        <v>229192.47</v>
      </c>
      <c r="K27" s="61"/>
      <c r="L27" s="61"/>
      <c r="M27" s="61"/>
      <c r="N27" s="61"/>
      <c r="O27" s="61"/>
      <c r="P27" s="61"/>
      <c r="Q27" s="61"/>
      <c r="R27" s="61"/>
      <c r="S27" s="61"/>
      <c r="T27" t="s">
        <v>23</v>
      </c>
      <c r="U27" s="58">
        <v>67499.25</v>
      </c>
      <c r="V27" s="61"/>
      <c r="W27" s="61"/>
      <c r="X27" s="61"/>
      <c r="Y27" s="61"/>
      <c r="Z27" s="61"/>
    </row>
    <row r="28" customHeight="1" spans="1:26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t="s">
        <v>24</v>
      </c>
      <c r="U28" s="58">
        <v>21999.12</v>
      </c>
      <c r="V28" s="61"/>
      <c r="W28" s="61"/>
      <c r="X28" s="61"/>
      <c r="Y28" s="61"/>
      <c r="Z28" s="61"/>
    </row>
    <row r="29" customHeight="1" spans="1:26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t="s">
        <v>25</v>
      </c>
      <c r="U29" s="58">
        <v>10399.48</v>
      </c>
      <c r="V29" s="61"/>
      <c r="W29" s="61"/>
      <c r="X29" s="61"/>
      <c r="Y29" s="61"/>
      <c r="Z29" s="61"/>
    </row>
    <row r="30" customHeight="1" spans="1:26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t="s">
        <v>26</v>
      </c>
      <c r="U30" s="58">
        <v>67199.04</v>
      </c>
      <c r="V30" s="61"/>
      <c r="W30" s="61"/>
      <c r="X30" s="61"/>
      <c r="Y30" s="61"/>
      <c r="Z30" s="61"/>
    </row>
    <row r="31" customHeight="1" spans="1:26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t="s">
        <v>14</v>
      </c>
      <c r="U31" s="58">
        <v>229192.47</v>
      </c>
      <c r="V31" s="61"/>
      <c r="W31" s="61"/>
      <c r="X31" s="61"/>
      <c r="Y31" s="61"/>
      <c r="Z31" s="61"/>
    </row>
    <row r="32" customHeight="1" spans="1:26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customHeight="1" spans="1:26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customHeight="1" spans="1:26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customHeight="1" spans="1:26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customHeight="1" spans="1:2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customHeight="1" spans="1:26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customHeight="1" spans="1:26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customHeight="1" spans="1:26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customHeight="1" spans="1:26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customHeight="1" spans="1:26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customHeight="1" spans="1:26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customHeight="1" spans="1:26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customHeight="1" spans="1:26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customHeight="1" spans="1:26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customHeight="1" spans="1:2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customHeight="1" spans="1:26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customHeight="1" spans="1:26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customHeight="1" spans="1:26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customHeight="1" spans="1:26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</sheetData>
  <mergeCells count="1">
    <mergeCell ref="A1:Z3"/>
  </mergeCells>
  <pageMargins left="0.7" right="0.7" top="0.75" bottom="0.75" header="0.3" footer="0.3"/>
  <headerFooter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</sheetView>
  </sheetViews>
  <sheetFormatPr defaultColWidth="9" defaultRowHeight="15" outlineLevelCol="1"/>
  <cols>
    <col min="1" max="1" width="11.2857142857143" customWidth="1"/>
    <col min="2" max="2" width="15.4285714285714" customWidth="1"/>
  </cols>
  <sheetData>
    <row r="3" spans="1:2">
      <c r="A3" t="s">
        <v>3</v>
      </c>
      <c r="B3" t="s">
        <v>4</v>
      </c>
    </row>
    <row r="4" spans="1:2">
      <c r="A4" t="s">
        <v>7</v>
      </c>
      <c r="B4" s="58">
        <v>166</v>
      </c>
    </row>
    <row r="5" spans="1:2">
      <c r="A5" t="s">
        <v>9</v>
      </c>
      <c r="B5" s="58">
        <v>161</v>
      </c>
    </row>
    <row r="6" spans="1:2">
      <c r="A6" t="s">
        <v>11</v>
      </c>
      <c r="B6" s="58">
        <v>169</v>
      </c>
    </row>
    <row r="7" spans="1:2">
      <c r="A7" t="s">
        <v>13</v>
      </c>
      <c r="B7" s="58">
        <v>125</v>
      </c>
    </row>
    <row r="8" spans="1:2">
      <c r="A8" t="s">
        <v>15</v>
      </c>
      <c r="B8" s="58">
        <v>132</v>
      </c>
    </row>
    <row r="9" spans="1:2">
      <c r="A9" t="s">
        <v>14</v>
      </c>
      <c r="B9" s="58">
        <v>753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:B7"/>
    </sheetView>
  </sheetViews>
  <sheetFormatPr defaultColWidth="9" defaultRowHeight="15" outlineLevelRow="6" outlineLevelCol="1"/>
  <cols>
    <col min="1" max="1" width="11.2857142857143" customWidth="1"/>
    <col min="2" max="3" width="12.1428571428571" customWidth="1"/>
  </cols>
  <sheetData>
    <row r="3" spans="1:2">
      <c r="A3" t="s">
        <v>5</v>
      </c>
      <c r="B3" t="s">
        <v>6</v>
      </c>
    </row>
    <row r="4" spans="1:2">
      <c r="A4" t="s">
        <v>8</v>
      </c>
      <c r="B4" s="58">
        <v>8338.74</v>
      </c>
    </row>
    <row r="5" spans="1:2">
      <c r="A5" t="s">
        <v>10</v>
      </c>
      <c r="B5" s="58">
        <v>171756.05</v>
      </c>
    </row>
    <row r="6" spans="1:2">
      <c r="A6" t="s">
        <v>12</v>
      </c>
      <c r="B6" s="58">
        <v>49097.68</v>
      </c>
    </row>
    <row r="7" spans="1:2">
      <c r="A7" t="s">
        <v>14</v>
      </c>
      <c r="B7" s="58">
        <v>229192.47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</sheetView>
  </sheetViews>
  <sheetFormatPr defaultColWidth="9" defaultRowHeight="15" outlineLevelCol="1"/>
  <cols>
    <col min="1" max="1" width="11.2857142857143" customWidth="1"/>
    <col min="2" max="2" width="12.1428571428571" customWidth="1"/>
    <col min="3" max="3" width="14" customWidth="1"/>
    <col min="4" max="4" width="14.4285714285714" customWidth="1"/>
    <col min="5" max="5" width="11.1428571428571" customWidth="1"/>
    <col min="6" max="6" width="12.4285714285714" customWidth="1"/>
    <col min="7" max="7" width="12.5714285714286" customWidth="1"/>
    <col min="8" max="8" width="10.8571428571429" customWidth="1"/>
    <col min="9" max="9" width="14.4285714285714" customWidth="1"/>
    <col min="10" max="10" width="11.7142857142857" customWidth="1"/>
    <col min="11" max="11" width="14.8571428571429" customWidth="1"/>
    <col min="12" max="12" width="15.2857142857143" customWidth="1"/>
    <col min="13" max="13" width="15.4285714285714" customWidth="1"/>
    <col min="14" max="14" width="13" customWidth="1"/>
    <col min="15" max="15" width="13.1428571428571" customWidth="1"/>
    <col min="16" max="16" width="12" customWidth="1"/>
    <col min="17" max="17" width="13.8571428571429" customWidth="1"/>
    <col min="18" max="18" width="14.4285714285714" customWidth="1"/>
    <col min="19" max="19" width="13.2857142857143" customWidth="1"/>
    <col min="20" max="20" width="13.4285714285714" customWidth="1"/>
    <col min="21" max="21" width="14.1428571428571" customWidth="1"/>
    <col min="22" max="22" width="14" customWidth="1"/>
    <col min="23" max="23" width="10.7142857142857" customWidth="1"/>
    <col min="24" max="24" width="14.2857142857143" customWidth="1"/>
    <col min="25" max="25" width="10.8571428571429" customWidth="1"/>
    <col min="26" max="26" width="9.42857142857143" customWidth="1"/>
    <col min="27" max="27" width="16.4285714285714" customWidth="1"/>
    <col min="28" max="28" width="10.8571428571429" customWidth="1"/>
    <col min="29" max="29" width="14.4285714285714" customWidth="1"/>
    <col min="30" max="30" width="12.2857142857143" customWidth="1"/>
    <col min="31" max="31" width="13.2857142857143" customWidth="1"/>
    <col min="32" max="32" width="15.8571428571429" customWidth="1"/>
    <col min="33" max="33" width="12.2857142857143" customWidth="1"/>
    <col min="34" max="34" width="11.5714285714286" customWidth="1"/>
    <col min="35" max="35" width="14.2857142857143" customWidth="1"/>
    <col min="36" max="36" width="15" customWidth="1"/>
    <col min="37" max="37" width="12.7142857142857" customWidth="1"/>
    <col min="38" max="38" width="14" customWidth="1"/>
    <col min="39" max="39" width="10.2857142857143" customWidth="1"/>
    <col min="40" max="40" width="16" customWidth="1"/>
    <col min="41" max="41" width="13.8571428571429" customWidth="1"/>
    <col min="42" max="42" width="11.1428571428571" customWidth="1"/>
    <col min="43" max="43" width="14.4285714285714" customWidth="1"/>
    <col min="44" max="44" width="11.7142857142857" customWidth="1"/>
    <col min="45" max="45" width="14" customWidth="1"/>
    <col min="46" max="46" width="11.1428571428571" customWidth="1"/>
    <col min="47" max="47" width="13.1428571428571" customWidth="1"/>
    <col min="48" max="48" width="13.4285714285714" customWidth="1"/>
    <col min="49" max="49" width="12" customWidth="1"/>
    <col min="50" max="50" width="15.2857142857143" customWidth="1"/>
    <col min="51" max="51" width="13.5714285714286" customWidth="1"/>
    <col min="52" max="52" width="11.4285714285714" customWidth="1"/>
  </cols>
  <sheetData>
    <row r="3" spans="1:2">
      <c r="A3" t="s">
        <v>3</v>
      </c>
      <c r="B3" t="s">
        <v>6</v>
      </c>
    </row>
    <row r="4" spans="1:2">
      <c r="A4" t="s">
        <v>7</v>
      </c>
      <c r="B4" s="58">
        <v>41288.34</v>
      </c>
    </row>
    <row r="5" spans="1:2">
      <c r="A5" t="s">
        <v>9</v>
      </c>
      <c r="B5" s="58">
        <v>59288.39</v>
      </c>
    </row>
    <row r="6" spans="1:2">
      <c r="A6" t="s">
        <v>11</v>
      </c>
      <c r="B6" s="58">
        <v>50808.31</v>
      </c>
    </row>
    <row r="7" spans="1:2">
      <c r="A7" t="s">
        <v>13</v>
      </c>
      <c r="B7" s="58">
        <v>36398.75</v>
      </c>
    </row>
    <row r="8" spans="1:2">
      <c r="A8" t="s">
        <v>15</v>
      </c>
      <c r="B8" s="58">
        <v>41408.68</v>
      </c>
    </row>
    <row r="9" spans="1:2">
      <c r="A9" t="s">
        <v>14</v>
      </c>
      <c r="B9" s="58">
        <v>229192.47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A3" sqref="A3"/>
    </sheetView>
  </sheetViews>
  <sheetFormatPr defaultColWidth="9" defaultRowHeight="15" outlineLevelCol="1"/>
  <cols>
    <col min="1" max="1" width="16.5714285714286" customWidth="1"/>
    <col min="2" max="2" width="12.1428571428571" customWidth="1"/>
    <col min="3" max="3" width="11.8571428571429" customWidth="1"/>
  </cols>
  <sheetData>
    <row r="3" spans="1:2">
      <c r="A3" t="s">
        <v>16</v>
      </c>
      <c r="B3" t="s">
        <v>6</v>
      </c>
    </row>
    <row r="4" spans="1:2">
      <c r="A4" t="s">
        <v>17</v>
      </c>
      <c r="B4" s="58">
        <v>5219.13</v>
      </c>
    </row>
    <row r="5" spans="1:2">
      <c r="A5" t="s">
        <v>18</v>
      </c>
      <c r="B5" s="58">
        <v>15298.98</v>
      </c>
    </row>
    <row r="6" spans="1:2">
      <c r="A6" t="s">
        <v>19</v>
      </c>
      <c r="B6" s="58">
        <v>3119.61</v>
      </c>
    </row>
    <row r="7" spans="1:2">
      <c r="A7" t="s">
        <v>20</v>
      </c>
      <c r="B7" s="58">
        <v>23399.22</v>
      </c>
    </row>
    <row r="8" spans="1:2">
      <c r="A8" t="s">
        <v>21</v>
      </c>
      <c r="B8" s="58">
        <v>7049.53</v>
      </c>
    </row>
    <row r="9" spans="1:2">
      <c r="A9" t="s">
        <v>22</v>
      </c>
      <c r="B9" s="58">
        <v>8009.11</v>
      </c>
    </row>
    <row r="10" spans="1:2">
      <c r="A10" t="s">
        <v>23</v>
      </c>
      <c r="B10" s="58">
        <v>67499.25</v>
      </c>
    </row>
    <row r="11" spans="1:2">
      <c r="A11" t="s">
        <v>24</v>
      </c>
      <c r="B11" s="58">
        <v>21999.12</v>
      </c>
    </row>
    <row r="12" spans="1:2">
      <c r="A12" t="s">
        <v>25</v>
      </c>
      <c r="B12" s="58">
        <v>10399.48</v>
      </c>
    </row>
    <row r="13" spans="1:2">
      <c r="A13" t="s">
        <v>26</v>
      </c>
      <c r="B13" s="58">
        <v>67199.04</v>
      </c>
    </row>
    <row r="14" spans="1:2">
      <c r="A14" t="s">
        <v>14</v>
      </c>
      <c r="B14" s="58">
        <v>229192.47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53"/>
  <sheetViews>
    <sheetView workbookViewId="0">
      <selection activeCell="E10" sqref="E10"/>
    </sheetView>
  </sheetViews>
  <sheetFormatPr defaultColWidth="19.8571428571429" defaultRowHeight="24" customHeight="1"/>
  <cols>
    <col min="2" max="2" width="19.8571428571429" style="46"/>
    <col min="19" max="19" width="18.1428571428571" style="47" customWidth="1"/>
    <col min="20" max="20" width="13.8571428571429" style="48" customWidth="1"/>
    <col min="21" max="21" width="19.8571428571429" style="48"/>
    <col min="22" max="24" width="19.8571428571429" style="47"/>
    <col min="31" max="31" width="19.8571428571429" style="46"/>
  </cols>
  <sheetData>
    <row r="1" customHeight="1" spans="1:33">
      <c r="A1" s="49" t="s">
        <v>27</v>
      </c>
      <c r="B1" s="50" t="s">
        <v>28</v>
      </c>
      <c r="C1" s="49" t="s">
        <v>29</v>
      </c>
      <c r="D1" s="49" t="s">
        <v>30</v>
      </c>
      <c r="E1" s="49" t="s">
        <v>31</v>
      </c>
      <c r="F1" s="49" t="s">
        <v>16</v>
      </c>
      <c r="G1" s="49" t="s">
        <v>5</v>
      </c>
      <c r="H1" s="49" t="s">
        <v>32</v>
      </c>
      <c r="I1" s="49" t="s">
        <v>33</v>
      </c>
      <c r="J1" s="49" t="s">
        <v>34</v>
      </c>
      <c r="K1" s="49" t="s">
        <v>3</v>
      </c>
      <c r="L1" s="49" t="s">
        <v>35</v>
      </c>
      <c r="M1" s="49" t="s">
        <v>36</v>
      </c>
      <c r="N1" s="49" t="s">
        <v>37</v>
      </c>
      <c r="O1" s="49" t="s">
        <v>38</v>
      </c>
      <c r="P1" s="49" t="s">
        <v>39</v>
      </c>
      <c r="Q1" s="49"/>
      <c r="R1" s="54" t="s">
        <v>40</v>
      </c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</row>
    <row r="2" customHeight="1" spans="1:33">
      <c r="A2" s="51" t="s">
        <v>41</v>
      </c>
      <c r="B2" s="52">
        <v>45393</v>
      </c>
      <c r="C2" s="51" t="s">
        <v>42</v>
      </c>
      <c r="D2" s="51" t="s">
        <v>43</v>
      </c>
      <c r="E2" s="51" t="s">
        <v>44</v>
      </c>
      <c r="F2" s="51" t="s">
        <v>24</v>
      </c>
      <c r="G2" s="51" t="s">
        <v>10</v>
      </c>
      <c r="H2" s="51">
        <v>3</v>
      </c>
      <c r="I2" s="51">
        <v>249.99</v>
      </c>
      <c r="J2" s="51" t="s">
        <v>45</v>
      </c>
      <c r="K2" s="51" t="s">
        <v>7</v>
      </c>
      <c r="L2" s="51" t="s">
        <v>46</v>
      </c>
      <c r="M2" s="53">
        <v>44425</v>
      </c>
      <c r="N2" s="51">
        <v>749.97</v>
      </c>
      <c r="O2" s="51">
        <f>MONTH(Table1[[#This Row],[Date]])</f>
        <v>4</v>
      </c>
      <c r="P2" s="51">
        <f>YEAR(Table1[[#This Row],[Date]])</f>
        <v>2024</v>
      </c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customHeight="1" spans="1:33">
      <c r="A3" s="51" t="s">
        <v>47</v>
      </c>
      <c r="B3" s="52">
        <v>45396</v>
      </c>
      <c r="C3" s="51" t="s">
        <v>48</v>
      </c>
      <c r="D3" s="51" t="s">
        <v>49</v>
      </c>
      <c r="E3" s="51" t="s">
        <v>44</v>
      </c>
      <c r="F3" s="51" t="s">
        <v>24</v>
      </c>
      <c r="G3" s="51" t="s">
        <v>10</v>
      </c>
      <c r="H3" s="51">
        <v>3</v>
      </c>
      <c r="I3" s="51">
        <v>249.99</v>
      </c>
      <c r="J3" s="51" t="s">
        <v>50</v>
      </c>
      <c r="K3" s="51" t="s">
        <v>7</v>
      </c>
      <c r="L3" s="51" t="s">
        <v>51</v>
      </c>
      <c r="M3" s="53">
        <v>44575</v>
      </c>
      <c r="N3" s="51">
        <v>749.97</v>
      </c>
      <c r="O3" s="51">
        <f>MONTH(Table1[[#This Row],[Date]])</f>
        <v>4</v>
      </c>
      <c r="P3" s="51">
        <f>YEAR(Table1[[#This Row],[Date]])</f>
        <v>2024</v>
      </c>
      <c r="R3" s="55" t="str" cm="1">
        <f t="array" ref="R3:AG76">_xlfn._xlws.FILTER(A2:P251,(L2:L251="Basic"))</f>
        <v>TRX0155</v>
      </c>
      <c r="S3" s="56">
        <v>45393</v>
      </c>
      <c r="T3" s="52" t="str">
        <v>CUST023</v>
      </c>
      <c r="U3" s="51" t="str">
        <v>Paul Baker</v>
      </c>
      <c r="V3" s="51" t="str">
        <v>P009</v>
      </c>
      <c r="W3" s="51" t="str">
        <v>Monitor</v>
      </c>
      <c r="X3" s="10" t="str">
        <v>Electronics</v>
      </c>
      <c r="Y3" s="10">
        <v>3</v>
      </c>
      <c r="Z3" s="10">
        <v>249.99</v>
      </c>
      <c r="AA3" s="10" t="str">
        <v>Cash</v>
      </c>
      <c r="AB3" s="10" t="str">
        <v>Central</v>
      </c>
      <c r="AC3" s="10" t="str">
        <v>Basic</v>
      </c>
      <c r="AD3" s="57">
        <v>44425</v>
      </c>
      <c r="AE3" s="10">
        <v>749.97</v>
      </c>
      <c r="AF3" s="10">
        <v>4</v>
      </c>
      <c r="AG3" s="10">
        <v>2024</v>
      </c>
    </row>
    <row r="4" customHeight="1" spans="1:33">
      <c r="A4" s="51" t="s">
        <v>52</v>
      </c>
      <c r="B4" s="52">
        <v>45399</v>
      </c>
      <c r="C4" s="51" t="s">
        <v>53</v>
      </c>
      <c r="D4" s="51" t="s">
        <v>54</v>
      </c>
      <c r="E4" s="51" t="s">
        <v>55</v>
      </c>
      <c r="F4" s="51" t="s">
        <v>17</v>
      </c>
      <c r="G4" s="51" t="s">
        <v>8</v>
      </c>
      <c r="H4" s="51">
        <v>3</v>
      </c>
      <c r="I4" s="51">
        <v>59.99</v>
      </c>
      <c r="J4" s="51" t="s">
        <v>56</v>
      </c>
      <c r="K4" s="51" t="s">
        <v>13</v>
      </c>
      <c r="L4" s="51" t="s">
        <v>57</v>
      </c>
      <c r="M4" s="53">
        <v>45262</v>
      </c>
      <c r="N4" s="51">
        <v>179.97</v>
      </c>
      <c r="O4" s="51">
        <f>MONTH(Table1[[#This Row],[Date]])</f>
        <v>4</v>
      </c>
      <c r="P4" s="51">
        <f>YEAR(Table1[[#This Row],[Date]])</f>
        <v>2024</v>
      </c>
      <c r="R4" s="51" t="str">
        <v>TRX0240</v>
      </c>
      <c r="S4" s="52">
        <v>45403</v>
      </c>
      <c r="T4" s="52" t="str">
        <v>CUST017</v>
      </c>
      <c r="U4" s="51" t="str">
        <v>Charles Allen</v>
      </c>
      <c r="V4" s="51" t="str">
        <v>P005</v>
      </c>
      <c r="W4" s="51" t="str">
        <v>Blender</v>
      </c>
      <c r="X4" s="10" t="str">
        <v>Appliances</v>
      </c>
      <c r="Y4" s="10">
        <v>3</v>
      </c>
      <c r="Z4" s="10">
        <v>59.99</v>
      </c>
      <c r="AA4" s="10" t="str">
        <v>Debit Card</v>
      </c>
      <c r="AB4" s="10" t="str">
        <v>South</v>
      </c>
      <c r="AC4" s="10" t="str">
        <v>Basic</v>
      </c>
      <c r="AD4" s="57">
        <v>45007</v>
      </c>
      <c r="AE4" s="10">
        <v>179.97</v>
      </c>
      <c r="AF4" s="10">
        <v>4</v>
      </c>
      <c r="AG4" s="10">
        <v>2024</v>
      </c>
    </row>
    <row r="5" customHeight="1" spans="1:33">
      <c r="A5" s="51" t="s">
        <v>58</v>
      </c>
      <c r="B5" s="52">
        <v>45400</v>
      </c>
      <c r="C5" s="51" t="s">
        <v>59</v>
      </c>
      <c r="D5" s="51" t="s">
        <v>60</v>
      </c>
      <c r="E5" s="51" t="s">
        <v>55</v>
      </c>
      <c r="F5" s="51" t="s">
        <v>17</v>
      </c>
      <c r="G5" s="51" t="s">
        <v>8</v>
      </c>
      <c r="H5" s="51">
        <v>3</v>
      </c>
      <c r="I5" s="51">
        <v>59.99</v>
      </c>
      <c r="J5" s="51" t="s">
        <v>45</v>
      </c>
      <c r="K5" s="51" t="s">
        <v>11</v>
      </c>
      <c r="L5" s="51" t="s">
        <v>51</v>
      </c>
      <c r="M5" s="53">
        <v>45114</v>
      </c>
      <c r="N5" s="51">
        <v>179.97</v>
      </c>
      <c r="O5" s="51">
        <f>MONTH(Table1[[#This Row],[Date]])</f>
        <v>4</v>
      </c>
      <c r="P5" s="51">
        <f>YEAR(Table1[[#This Row],[Date]])</f>
        <v>2024</v>
      </c>
      <c r="R5" s="51" t="str">
        <v>TRX0209</v>
      </c>
      <c r="S5" s="52">
        <v>45408</v>
      </c>
      <c r="T5" s="52" t="str">
        <v>CUST046</v>
      </c>
      <c r="U5" s="51" t="str">
        <v>Kathleen Bennett</v>
      </c>
      <c r="V5" s="51" t="str">
        <v>P008</v>
      </c>
      <c r="W5" s="51" t="str">
        <v>Bookshelf</v>
      </c>
      <c r="X5" s="10" t="str">
        <v>Furniture</v>
      </c>
      <c r="Y5" s="10">
        <v>5</v>
      </c>
      <c r="Z5" s="10">
        <v>149.99</v>
      </c>
      <c r="AA5" s="10" t="str">
        <v>Debit Card</v>
      </c>
      <c r="AB5" s="10" t="str">
        <v>North</v>
      </c>
      <c r="AC5" s="10" t="str">
        <v>Basic</v>
      </c>
      <c r="AD5" s="57">
        <v>44830</v>
      </c>
      <c r="AE5" s="10">
        <v>749.95</v>
      </c>
      <c r="AF5" s="10">
        <v>4</v>
      </c>
      <c r="AG5" s="10">
        <v>2024</v>
      </c>
    </row>
    <row r="6" customHeight="1" spans="1:33">
      <c r="A6" s="51" t="s">
        <v>61</v>
      </c>
      <c r="B6" s="52">
        <v>45400</v>
      </c>
      <c r="C6" s="51" t="s">
        <v>62</v>
      </c>
      <c r="D6" s="51" t="s">
        <v>63</v>
      </c>
      <c r="E6" s="51" t="s">
        <v>64</v>
      </c>
      <c r="F6" s="51" t="s">
        <v>18</v>
      </c>
      <c r="G6" s="51" t="s">
        <v>12</v>
      </c>
      <c r="H6" s="51">
        <v>5</v>
      </c>
      <c r="I6" s="51">
        <v>149.99</v>
      </c>
      <c r="J6" s="51" t="s">
        <v>50</v>
      </c>
      <c r="K6" s="51" t="s">
        <v>11</v>
      </c>
      <c r="L6" s="51" t="s">
        <v>51</v>
      </c>
      <c r="M6" s="53">
        <v>45295</v>
      </c>
      <c r="N6" s="51">
        <v>749.95</v>
      </c>
      <c r="O6" s="51">
        <f>MONTH(Table1[[#This Row],[Date]])</f>
        <v>4</v>
      </c>
      <c r="P6" s="51">
        <f>YEAR(Table1[[#This Row],[Date]])</f>
        <v>2024</v>
      </c>
      <c r="R6" s="51" t="str">
        <v>TRX0191</v>
      </c>
      <c r="S6" s="52">
        <v>45409</v>
      </c>
      <c r="T6" s="52" t="str">
        <v>CUST038</v>
      </c>
      <c r="U6" s="51" t="str">
        <v>Michelle Rogers</v>
      </c>
      <c r="V6" s="51" t="str">
        <v>P002</v>
      </c>
      <c r="W6" s="51" t="str">
        <v>Smartphone</v>
      </c>
      <c r="X6" s="10" t="str">
        <v>Electronics</v>
      </c>
      <c r="Y6" s="10">
        <v>3</v>
      </c>
      <c r="Z6" s="10">
        <v>699.99</v>
      </c>
      <c r="AA6" s="10" t="str">
        <v>Credit Card</v>
      </c>
      <c r="AB6" s="10" t="str">
        <v>West</v>
      </c>
      <c r="AC6" s="10" t="str">
        <v>Basic</v>
      </c>
      <c r="AD6" s="57">
        <v>44577</v>
      </c>
      <c r="AE6" s="10">
        <v>2099.97</v>
      </c>
      <c r="AF6" s="10">
        <v>4</v>
      </c>
      <c r="AG6" s="10">
        <v>2024</v>
      </c>
    </row>
    <row r="7" customHeight="1" spans="1:33">
      <c r="A7" s="51" t="s">
        <v>65</v>
      </c>
      <c r="B7" s="52">
        <v>45403</v>
      </c>
      <c r="C7" s="51" t="s">
        <v>66</v>
      </c>
      <c r="D7" s="51" t="s">
        <v>67</v>
      </c>
      <c r="E7" s="51" t="s">
        <v>55</v>
      </c>
      <c r="F7" s="51" t="s">
        <v>17</v>
      </c>
      <c r="G7" s="51" t="s">
        <v>8</v>
      </c>
      <c r="H7" s="51">
        <v>2</v>
      </c>
      <c r="I7" s="51">
        <v>59.99</v>
      </c>
      <c r="J7" s="51" t="s">
        <v>45</v>
      </c>
      <c r="K7" s="51" t="s">
        <v>15</v>
      </c>
      <c r="L7" s="51" t="s">
        <v>57</v>
      </c>
      <c r="M7" s="53">
        <v>44746</v>
      </c>
      <c r="N7" s="51">
        <v>119.98</v>
      </c>
      <c r="O7" s="51">
        <f>MONTH(Table1[[#This Row],[Date]])</f>
        <v>4</v>
      </c>
      <c r="P7" s="51">
        <f>YEAR(Table1[[#This Row],[Date]])</f>
        <v>2024</v>
      </c>
      <c r="R7" s="51" t="str">
        <v>TRX0134</v>
      </c>
      <c r="S7" s="52">
        <v>45410</v>
      </c>
      <c r="T7" s="52" t="str">
        <v>CUST010</v>
      </c>
      <c r="U7" s="51" t="str">
        <v>Maria Garcia</v>
      </c>
      <c r="V7" s="51" t="str">
        <v>P002</v>
      </c>
      <c r="W7" s="51" t="str">
        <v>Smartphone</v>
      </c>
      <c r="X7" s="10" t="str">
        <v>Electronics</v>
      </c>
      <c r="Y7" s="10">
        <v>2</v>
      </c>
      <c r="Z7" s="10">
        <v>699.99</v>
      </c>
      <c r="AA7" s="10" t="str">
        <v>Cash</v>
      </c>
      <c r="AB7" s="10" t="str">
        <v>North</v>
      </c>
      <c r="AC7" s="10" t="str">
        <v>Basic</v>
      </c>
      <c r="AD7" s="57">
        <v>44781</v>
      </c>
      <c r="AE7" s="10">
        <v>1399.98</v>
      </c>
      <c r="AF7" s="10">
        <v>4</v>
      </c>
      <c r="AG7" s="10">
        <v>2024</v>
      </c>
    </row>
    <row r="8" customHeight="1" spans="1:33">
      <c r="A8" s="51" t="s">
        <v>68</v>
      </c>
      <c r="B8" s="52">
        <v>45403</v>
      </c>
      <c r="C8" s="51" t="s">
        <v>66</v>
      </c>
      <c r="D8" s="51" t="s">
        <v>67</v>
      </c>
      <c r="E8" s="51" t="s">
        <v>69</v>
      </c>
      <c r="F8" s="51" t="s">
        <v>21</v>
      </c>
      <c r="G8" s="51" t="s">
        <v>10</v>
      </c>
      <c r="H8" s="51">
        <v>5</v>
      </c>
      <c r="I8" s="51">
        <v>149.99</v>
      </c>
      <c r="J8" s="51" t="s">
        <v>50</v>
      </c>
      <c r="K8" s="51" t="s">
        <v>7</v>
      </c>
      <c r="L8" s="51" t="s">
        <v>57</v>
      </c>
      <c r="M8" s="53">
        <v>44418</v>
      </c>
      <c r="N8" s="51">
        <v>749.95</v>
      </c>
      <c r="O8" s="51">
        <f>MONTH(Table1[[#This Row],[Date]])</f>
        <v>4</v>
      </c>
      <c r="P8" s="51">
        <f>YEAR(Table1[[#This Row],[Date]])</f>
        <v>2024</v>
      </c>
      <c r="R8" s="51" t="str">
        <v>TRX0231</v>
      </c>
      <c r="S8" s="52">
        <v>45412</v>
      </c>
      <c r="T8" s="52" t="str">
        <v>CUST018</v>
      </c>
      <c r="U8" s="51" t="str">
        <v>Barbara Young</v>
      </c>
      <c r="V8" s="51" t="str">
        <v>P002</v>
      </c>
      <c r="W8" s="51" t="str">
        <v>Smartphone</v>
      </c>
      <c r="X8" s="10" t="str">
        <v>Electronics</v>
      </c>
      <c r="Y8" s="10">
        <v>5</v>
      </c>
      <c r="Z8" s="10">
        <v>699.99</v>
      </c>
      <c r="AA8" s="10" t="str">
        <v>Cash</v>
      </c>
      <c r="AB8" s="10" t="str">
        <v>West</v>
      </c>
      <c r="AC8" s="10" t="str">
        <v>Basic</v>
      </c>
      <c r="AD8" s="57">
        <v>45167</v>
      </c>
      <c r="AE8" s="10">
        <v>3499.95</v>
      </c>
      <c r="AF8" s="10">
        <v>4</v>
      </c>
      <c r="AG8" s="10">
        <v>2024</v>
      </c>
    </row>
    <row r="9" customHeight="1" spans="1:33">
      <c r="A9" s="51" t="s">
        <v>70</v>
      </c>
      <c r="B9" s="52">
        <v>45403</v>
      </c>
      <c r="C9" s="51" t="s">
        <v>71</v>
      </c>
      <c r="D9" s="51" t="s">
        <v>72</v>
      </c>
      <c r="E9" s="51" t="s">
        <v>55</v>
      </c>
      <c r="F9" s="51" t="s">
        <v>17</v>
      </c>
      <c r="G9" s="51" t="s">
        <v>8</v>
      </c>
      <c r="H9" s="51">
        <v>3</v>
      </c>
      <c r="I9" s="51">
        <v>59.99</v>
      </c>
      <c r="J9" s="51" t="s">
        <v>73</v>
      </c>
      <c r="K9" s="51" t="s">
        <v>13</v>
      </c>
      <c r="L9" s="51" t="s">
        <v>46</v>
      </c>
      <c r="M9" s="53">
        <v>45007</v>
      </c>
      <c r="N9" s="51">
        <v>179.97</v>
      </c>
      <c r="O9" s="51">
        <f>MONTH(Table1[[#This Row],[Date]])</f>
        <v>4</v>
      </c>
      <c r="P9" s="51">
        <f>YEAR(Table1[[#This Row],[Date]])</f>
        <v>2024</v>
      </c>
      <c r="R9" s="51" t="str">
        <v>TRX0040</v>
      </c>
      <c r="S9" s="52">
        <v>45424</v>
      </c>
      <c r="T9" s="52" t="str">
        <v>CUST022</v>
      </c>
      <c r="U9" s="51" t="str">
        <v>Susan Green</v>
      </c>
      <c r="V9" s="51" t="str">
        <v>P007</v>
      </c>
      <c r="W9" s="51" t="str">
        <v>Desk</v>
      </c>
      <c r="X9" s="10" t="str">
        <v>Furniture</v>
      </c>
      <c r="Y9" s="10">
        <v>5</v>
      </c>
      <c r="Z9" s="10">
        <v>299.99</v>
      </c>
      <c r="AA9" s="10" t="str">
        <v>PayPal</v>
      </c>
      <c r="AB9" s="10" t="str">
        <v>East</v>
      </c>
      <c r="AC9" s="10" t="str">
        <v>Basic</v>
      </c>
      <c r="AD9" s="57">
        <v>45168</v>
      </c>
      <c r="AE9" s="10">
        <v>1499.95</v>
      </c>
      <c r="AF9" s="10">
        <v>5</v>
      </c>
      <c r="AG9" s="10">
        <v>2024</v>
      </c>
    </row>
    <row r="10" customHeight="1" spans="1:33">
      <c r="A10" s="51" t="s">
        <v>74</v>
      </c>
      <c r="B10" s="52">
        <v>45405</v>
      </c>
      <c r="C10" s="51" t="s">
        <v>75</v>
      </c>
      <c r="D10" s="51" t="s">
        <v>76</v>
      </c>
      <c r="E10" s="51" t="s">
        <v>77</v>
      </c>
      <c r="F10" s="51" t="s">
        <v>23</v>
      </c>
      <c r="G10" s="51" t="s">
        <v>10</v>
      </c>
      <c r="H10" s="51">
        <v>3</v>
      </c>
      <c r="I10" s="51">
        <v>899.99</v>
      </c>
      <c r="J10" s="51" t="s">
        <v>56</v>
      </c>
      <c r="K10" s="51" t="s">
        <v>9</v>
      </c>
      <c r="L10" s="51" t="s">
        <v>57</v>
      </c>
      <c r="M10" s="53">
        <v>45299</v>
      </c>
      <c r="N10" s="51">
        <v>2699.97</v>
      </c>
      <c r="O10" s="51">
        <f>MONTH(Table1[[#This Row],[Date]])</f>
        <v>4</v>
      </c>
      <c r="P10" s="51">
        <f>YEAR(Table1[[#This Row],[Date]])</f>
        <v>2024</v>
      </c>
      <c r="R10" s="51" t="str">
        <v>TRX0194</v>
      </c>
      <c r="S10" s="52">
        <v>45428</v>
      </c>
      <c r="T10" s="52" t="str">
        <v>CUST006</v>
      </c>
      <c r="U10" s="51" t="str">
        <v>Lisa Anderson</v>
      </c>
      <c r="V10" s="51" t="str">
        <v>P008</v>
      </c>
      <c r="W10" s="51" t="str">
        <v>Bookshelf</v>
      </c>
      <c r="X10" s="10" t="str">
        <v>Furniture</v>
      </c>
      <c r="Y10" s="10">
        <v>2</v>
      </c>
      <c r="Z10" s="10">
        <v>149.99</v>
      </c>
      <c r="AA10" s="10" t="str">
        <v>Credit Card</v>
      </c>
      <c r="AB10" s="10" t="str">
        <v>West</v>
      </c>
      <c r="AC10" s="10" t="str">
        <v>Basic</v>
      </c>
      <c r="AD10" s="57">
        <v>44823</v>
      </c>
      <c r="AE10" s="10">
        <v>299.98</v>
      </c>
      <c r="AF10" s="10">
        <v>5</v>
      </c>
      <c r="AG10" s="10">
        <v>2024</v>
      </c>
    </row>
    <row r="11" customHeight="1" spans="1:33">
      <c r="A11" s="51" t="s">
        <v>78</v>
      </c>
      <c r="B11" s="52">
        <v>45408</v>
      </c>
      <c r="C11" s="51" t="s">
        <v>79</v>
      </c>
      <c r="D11" s="51" t="s">
        <v>80</v>
      </c>
      <c r="E11" s="51" t="s">
        <v>55</v>
      </c>
      <c r="F11" s="51" t="s">
        <v>17</v>
      </c>
      <c r="G11" s="51" t="s">
        <v>8</v>
      </c>
      <c r="H11" s="51">
        <v>3</v>
      </c>
      <c r="I11" s="51">
        <v>59.99</v>
      </c>
      <c r="J11" s="51" t="s">
        <v>45</v>
      </c>
      <c r="K11" s="51" t="s">
        <v>15</v>
      </c>
      <c r="L11" s="51" t="s">
        <v>51</v>
      </c>
      <c r="M11" s="53">
        <v>45207</v>
      </c>
      <c r="N11" s="51">
        <v>179.97</v>
      </c>
      <c r="O11" s="51">
        <f>MONTH(Table1[[#This Row],[Date]])</f>
        <v>4</v>
      </c>
      <c r="P11" s="51">
        <f>YEAR(Table1[[#This Row],[Date]])</f>
        <v>2024</v>
      </c>
      <c r="R11" s="51" t="str">
        <v>TRX0232</v>
      </c>
      <c r="S11" s="52">
        <v>45434</v>
      </c>
      <c r="T11" s="52" t="str">
        <v>CUST012</v>
      </c>
      <c r="U11" s="51" t="str">
        <v>Patricia Moore</v>
      </c>
      <c r="V11" s="51" t="str">
        <v>P007</v>
      </c>
      <c r="W11" s="51" t="str">
        <v>Desk</v>
      </c>
      <c r="X11" s="10" t="str">
        <v>Furniture</v>
      </c>
      <c r="Y11" s="10">
        <v>3</v>
      </c>
      <c r="Z11" s="10">
        <v>299.99</v>
      </c>
      <c r="AA11" s="10" t="str">
        <v>Credit Card</v>
      </c>
      <c r="AB11" s="10" t="str">
        <v>East</v>
      </c>
      <c r="AC11" s="10" t="str">
        <v>Basic</v>
      </c>
      <c r="AD11" s="57">
        <v>44824</v>
      </c>
      <c r="AE11" s="10">
        <v>899.97</v>
      </c>
      <c r="AF11" s="10">
        <v>5</v>
      </c>
      <c r="AG11" s="10">
        <v>2024</v>
      </c>
    </row>
    <row r="12" customHeight="1" spans="1:33">
      <c r="A12" s="51" t="s">
        <v>81</v>
      </c>
      <c r="B12" s="52">
        <v>45408</v>
      </c>
      <c r="C12" s="51" t="s">
        <v>82</v>
      </c>
      <c r="D12" s="51" t="s">
        <v>83</v>
      </c>
      <c r="E12" s="51" t="s">
        <v>64</v>
      </c>
      <c r="F12" s="51" t="s">
        <v>18</v>
      </c>
      <c r="G12" s="51" t="s">
        <v>12</v>
      </c>
      <c r="H12" s="51">
        <v>1</v>
      </c>
      <c r="I12" s="51">
        <v>149.99</v>
      </c>
      <c r="J12" s="51" t="s">
        <v>50</v>
      </c>
      <c r="K12" s="51" t="s">
        <v>15</v>
      </c>
      <c r="L12" s="51" t="s">
        <v>57</v>
      </c>
      <c r="M12" s="53">
        <v>45103</v>
      </c>
      <c r="N12" s="51">
        <v>149.99</v>
      </c>
      <c r="O12" s="51">
        <f>MONTH(Table1[[#This Row],[Date]])</f>
        <v>4</v>
      </c>
      <c r="P12" s="51">
        <f>YEAR(Table1[[#This Row],[Date]])</f>
        <v>2024</v>
      </c>
      <c r="R12" s="51" t="str">
        <v>TRX0021</v>
      </c>
      <c r="S12" s="52">
        <v>45435</v>
      </c>
      <c r="T12" s="52" t="str">
        <v>CUST006</v>
      </c>
      <c r="U12" s="51" t="str">
        <v>Lisa Anderson</v>
      </c>
      <c r="V12" s="51" t="str">
        <v>P004</v>
      </c>
      <c r="W12" s="51" t="str">
        <v>Coffee Maker</v>
      </c>
      <c r="X12" s="10" t="str">
        <v>Appliances</v>
      </c>
      <c r="Y12" s="10">
        <v>3</v>
      </c>
      <c r="Z12" s="10">
        <v>79.99</v>
      </c>
      <c r="AA12" s="10" t="str">
        <v>Cash</v>
      </c>
      <c r="AB12" s="10" t="str">
        <v>South</v>
      </c>
      <c r="AC12" s="10" t="str">
        <v>Basic</v>
      </c>
      <c r="AD12" s="57">
        <v>45046</v>
      </c>
      <c r="AE12" s="10">
        <v>239.97</v>
      </c>
      <c r="AF12" s="10">
        <v>5</v>
      </c>
      <c r="AG12" s="10">
        <v>2024</v>
      </c>
    </row>
    <row r="13" customHeight="1" spans="1:33">
      <c r="A13" s="51" t="s">
        <v>84</v>
      </c>
      <c r="B13" s="52">
        <v>45408</v>
      </c>
      <c r="C13" s="51" t="s">
        <v>59</v>
      </c>
      <c r="D13" s="51" t="s">
        <v>60</v>
      </c>
      <c r="E13" s="51" t="s">
        <v>64</v>
      </c>
      <c r="F13" s="51" t="s">
        <v>18</v>
      </c>
      <c r="G13" s="51" t="s">
        <v>12</v>
      </c>
      <c r="H13" s="51">
        <v>5</v>
      </c>
      <c r="I13" s="51">
        <v>149.99</v>
      </c>
      <c r="J13" s="51" t="s">
        <v>73</v>
      </c>
      <c r="K13" s="51" t="s">
        <v>11</v>
      </c>
      <c r="L13" s="51" t="s">
        <v>46</v>
      </c>
      <c r="M13" s="53">
        <v>44830</v>
      </c>
      <c r="N13" s="51">
        <v>749.95</v>
      </c>
      <c r="O13" s="51">
        <f>MONTH(Table1[[#This Row],[Date]])</f>
        <v>4</v>
      </c>
      <c r="P13" s="51">
        <f>YEAR(Table1[[#This Row],[Date]])</f>
        <v>2024</v>
      </c>
      <c r="R13" s="51" t="str">
        <v>TRX0128</v>
      </c>
      <c r="S13" s="52">
        <v>45444</v>
      </c>
      <c r="T13" s="52" t="str">
        <v>CUST040</v>
      </c>
      <c r="U13" s="51" t="str">
        <v>Sharon Butler</v>
      </c>
      <c r="V13" s="51" t="str">
        <v>P005</v>
      </c>
      <c r="W13" s="51" t="str">
        <v>Blender</v>
      </c>
      <c r="X13" s="10" t="str">
        <v>Appliances</v>
      </c>
      <c r="Y13" s="10">
        <v>2</v>
      </c>
      <c r="Z13" s="10">
        <v>59.99</v>
      </c>
      <c r="AA13" s="10" t="str">
        <v>Cash</v>
      </c>
      <c r="AB13" s="10" t="str">
        <v>West</v>
      </c>
      <c r="AC13" s="10" t="str">
        <v>Basic</v>
      </c>
      <c r="AD13" s="57">
        <v>45390</v>
      </c>
      <c r="AE13" s="10">
        <v>119.98</v>
      </c>
      <c r="AF13" s="10">
        <v>6</v>
      </c>
      <c r="AG13" s="10">
        <v>2024</v>
      </c>
    </row>
    <row r="14" customHeight="1" spans="1:33">
      <c r="A14" s="51" t="s">
        <v>85</v>
      </c>
      <c r="B14" s="52">
        <v>45408</v>
      </c>
      <c r="C14" s="51" t="s">
        <v>86</v>
      </c>
      <c r="D14" s="51" t="s">
        <v>87</v>
      </c>
      <c r="E14" s="51" t="s">
        <v>64</v>
      </c>
      <c r="F14" s="51" t="s">
        <v>18</v>
      </c>
      <c r="G14" s="51" t="s">
        <v>12</v>
      </c>
      <c r="H14" s="51">
        <v>3</v>
      </c>
      <c r="I14" s="51">
        <v>149.99</v>
      </c>
      <c r="J14" s="51" t="s">
        <v>45</v>
      </c>
      <c r="K14" s="51" t="s">
        <v>11</v>
      </c>
      <c r="L14" s="51" t="s">
        <v>51</v>
      </c>
      <c r="M14" s="53">
        <v>44806</v>
      </c>
      <c r="N14" s="51">
        <v>449.97</v>
      </c>
      <c r="O14" s="51">
        <f>MONTH(Table1[[#This Row],[Date]])</f>
        <v>4</v>
      </c>
      <c r="P14" s="51">
        <f>YEAR(Table1[[#This Row],[Date]])</f>
        <v>2024</v>
      </c>
      <c r="R14" s="51" t="str">
        <v>TRX0117</v>
      </c>
      <c r="S14" s="52">
        <v>45444</v>
      </c>
      <c r="T14" s="52" t="str">
        <v>CUST017</v>
      </c>
      <c r="U14" s="51" t="str">
        <v>Charles Allen</v>
      </c>
      <c r="V14" s="51" t="str">
        <v>P010</v>
      </c>
      <c r="W14" s="51" t="str">
        <v>Keyboard</v>
      </c>
      <c r="X14" s="10" t="str">
        <v>Electronics</v>
      </c>
      <c r="Y14" s="10">
        <v>1</v>
      </c>
      <c r="Z14" s="10">
        <v>89.99</v>
      </c>
      <c r="AA14" s="10" t="str">
        <v>Cash</v>
      </c>
      <c r="AB14" s="10" t="str">
        <v>North</v>
      </c>
      <c r="AC14" s="10" t="str">
        <v>Basic</v>
      </c>
      <c r="AD14" s="57">
        <v>45141</v>
      </c>
      <c r="AE14" s="10">
        <v>89.99</v>
      </c>
      <c r="AF14" s="10">
        <v>6</v>
      </c>
      <c r="AG14" s="10">
        <v>2024</v>
      </c>
    </row>
    <row r="15" customHeight="1" spans="1:33">
      <c r="A15" s="51" t="s">
        <v>88</v>
      </c>
      <c r="B15" s="52">
        <v>45409</v>
      </c>
      <c r="C15" s="51" t="s">
        <v>89</v>
      </c>
      <c r="D15" s="51" t="s">
        <v>90</v>
      </c>
      <c r="E15" s="51" t="s">
        <v>55</v>
      </c>
      <c r="F15" s="51" t="s">
        <v>17</v>
      </c>
      <c r="G15" s="51" t="s">
        <v>8</v>
      </c>
      <c r="H15" s="51">
        <v>3</v>
      </c>
      <c r="I15" s="51">
        <v>59.99</v>
      </c>
      <c r="J15" s="51" t="s">
        <v>50</v>
      </c>
      <c r="K15" s="51" t="s">
        <v>11</v>
      </c>
      <c r="L15" s="51" t="s">
        <v>57</v>
      </c>
      <c r="M15" s="53">
        <v>45351</v>
      </c>
      <c r="N15" s="51">
        <v>179.97</v>
      </c>
      <c r="O15" s="51">
        <f>MONTH(Table1[[#This Row],[Date]])</f>
        <v>4</v>
      </c>
      <c r="P15" s="51">
        <f>YEAR(Table1[[#This Row],[Date]])</f>
        <v>2024</v>
      </c>
      <c r="R15" s="51" t="str">
        <v>TRX0025</v>
      </c>
      <c r="S15" s="52">
        <v>45468</v>
      </c>
      <c r="T15" s="52" t="str">
        <v>CUST049</v>
      </c>
      <c r="U15" s="51" t="str">
        <v>Raymond Ross</v>
      </c>
      <c r="V15" s="51" t="str">
        <v>P010</v>
      </c>
      <c r="W15" s="51" t="str">
        <v>Keyboard</v>
      </c>
      <c r="X15" s="10" t="str">
        <v>Electronics</v>
      </c>
      <c r="Y15" s="10">
        <v>4</v>
      </c>
      <c r="Z15" s="10">
        <v>89.99</v>
      </c>
      <c r="AA15" s="10" t="str">
        <v>Debit Card</v>
      </c>
      <c r="AB15" s="10" t="str">
        <v>South</v>
      </c>
      <c r="AC15" s="10" t="str">
        <v>Basic</v>
      </c>
      <c r="AD15" s="57">
        <v>45281</v>
      </c>
      <c r="AE15" s="10">
        <v>359.96</v>
      </c>
      <c r="AF15" s="10">
        <v>6</v>
      </c>
      <c r="AG15" s="10">
        <v>2024</v>
      </c>
    </row>
    <row r="16" customHeight="1" spans="1:33">
      <c r="A16" s="51" t="s">
        <v>91</v>
      </c>
      <c r="B16" s="52">
        <v>45409</v>
      </c>
      <c r="C16" s="51" t="s">
        <v>92</v>
      </c>
      <c r="D16" s="51" t="s">
        <v>93</v>
      </c>
      <c r="E16" s="51" t="s">
        <v>94</v>
      </c>
      <c r="F16" s="51" t="s">
        <v>26</v>
      </c>
      <c r="G16" s="51" t="s">
        <v>10</v>
      </c>
      <c r="H16" s="51">
        <v>3</v>
      </c>
      <c r="I16" s="51">
        <v>699.99</v>
      </c>
      <c r="J16" s="51" t="s">
        <v>50</v>
      </c>
      <c r="K16" s="51" t="s">
        <v>15</v>
      </c>
      <c r="L16" s="51" t="s">
        <v>46</v>
      </c>
      <c r="M16" s="53">
        <v>44577</v>
      </c>
      <c r="N16" s="51">
        <v>2099.97</v>
      </c>
      <c r="O16" s="51">
        <f>MONTH(Table1[[#This Row],[Date]])</f>
        <v>4</v>
      </c>
      <c r="P16" s="51">
        <f>YEAR(Table1[[#This Row],[Date]])</f>
        <v>2024</v>
      </c>
      <c r="R16" s="51" t="str">
        <v>TRX0007</v>
      </c>
      <c r="S16" s="52">
        <v>45469</v>
      </c>
      <c r="T16" s="52" t="str">
        <v>CUST009</v>
      </c>
      <c r="U16" s="51" t="str">
        <v>Robert Thomas</v>
      </c>
      <c r="V16" s="51" t="str">
        <v>P010</v>
      </c>
      <c r="W16" s="51" t="str">
        <v>Keyboard</v>
      </c>
      <c r="X16" s="10" t="str">
        <v>Electronics</v>
      </c>
      <c r="Y16" s="10">
        <v>2</v>
      </c>
      <c r="Z16" s="10">
        <v>89.99</v>
      </c>
      <c r="AA16" s="10" t="str">
        <v>Cash</v>
      </c>
      <c r="AB16" s="10" t="str">
        <v>West</v>
      </c>
      <c r="AC16" s="10" t="str">
        <v>Basic</v>
      </c>
      <c r="AD16" s="57">
        <v>44438</v>
      </c>
      <c r="AE16" s="10">
        <v>179.98</v>
      </c>
      <c r="AF16" s="10">
        <v>6</v>
      </c>
      <c r="AG16" s="10">
        <v>2024</v>
      </c>
    </row>
    <row r="17" customHeight="1" spans="1:33">
      <c r="A17" s="51" t="s">
        <v>95</v>
      </c>
      <c r="B17" s="52">
        <v>45409</v>
      </c>
      <c r="C17" s="51" t="s">
        <v>96</v>
      </c>
      <c r="D17" s="51" t="s">
        <v>97</v>
      </c>
      <c r="E17" s="51" t="s">
        <v>77</v>
      </c>
      <c r="F17" s="51" t="s">
        <v>23</v>
      </c>
      <c r="G17" s="51" t="s">
        <v>10</v>
      </c>
      <c r="H17" s="51">
        <v>1</v>
      </c>
      <c r="I17" s="51">
        <v>899.99</v>
      </c>
      <c r="J17" s="51" t="s">
        <v>73</v>
      </c>
      <c r="K17" s="51" t="s">
        <v>11</v>
      </c>
      <c r="L17" s="51" t="s">
        <v>57</v>
      </c>
      <c r="M17" s="53">
        <v>44920</v>
      </c>
      <c r="N17" s="51">
        <v>899.99</v>
      </c>
      <c r="O17" s="51">
        <f>MONTH(Table1[[#This Row],[Date]])</f>
        <v>4</v>
      </c>
      <c r="P17" s="51">
        <f>YEAR(Table1[[#This Row],[Date]])</f>
        <v>2024</v>
      </c>
      <c r="R17" s="51" t="str">
        <v>TRX0127</v>
      </c>
      <c r="S17" s="52">
        <v>45472</v>
      </c>
      <c r="T17" s="52" t="str">
        <v>CUST030</v>
      </c>
      <c r="U17" s="51" t="str">
        <v>Helen Roberts</v>
      </c>
      <c r="V17" s="51" t="str">
        <v>P008</v>
      </c>
      <c r="W17" s="51" t="str">
        <v>Bookshelf</v>
      </c>
      <c r="X17" s="10" t="str">
        <v>Furniture</v>
      </c>
      <c r="Y17" s="10">
        <v>1</v>
      </c>
      <c r="Z17" s="10">
        <v>149.99</v>
      </c>
      <c r="AA17" s="10" t="str">
        <v>PayPal</v>
      </c>
      <c r="AB17" s="10" t="str">
        <v>East</v>
      </c>
      <c r="AC17" s="10" t="str">
        <v>Basic</v>
      </c>
      <c r="AD17" s="57">
        <v>44851</v>
      </c>
      <c r="AE17" s="10">
        <v>149.99</v>
      </c>
      <c r="AF17" s="10">
        <v>6</v>
      </c>
      <c r="AG17" s="10">
        <v>2024</v>
      </c>
    </row>
    <row r="18" customHeight="1" spans="1:33">
      <c r="A18" s="51" t="s">
        <v>98</v>
      </c>
      <c r="B18" s="52">
        <v>45410</v>
      </c>
      <c r="C18" s="51" t="s">
        <v>99</v>
      </c>
      <c r="D18" s="51" t="s">
        <v>100</v>
      </c>
      <c r="E18" s="51" t="s">
        <v>64</v>
      </c>
      <c r="F18" s="51" t="s">
        <v>18</v>
      </c>
      <c r="G18" s="51" t="s">
        <v>12</v>
      </c>
      <c r="H18" s="51">
        <v>4</v>
      </c>
      <c r="I18" s="51">
        <v>149.99</v>
      </c>
      <c r="J18" s="51" t="s">
        <v>73</v>
      </c>
      <c r="K18" s="51" t="s">
        <v>11</v>
      </c>
      <c r="L18" s="51" t="s">
        <v>51</v>
      </c>
      <c r="M18" s="53">
        <v>45374</v>
      </c>
      <c r="N18" s="51">
        <v>599.96</v>
      </c>
      <c r="O18" s="51">
        <f>MONTH(Table1[[#This Row],[Date]])</f>
        <v>4</v>
      </c>
      <c r="P18" s="51">
        <f>YEAR(Table1[[#This Row],[Date]])</f>
        <v>2024</v>
      </c>
      <c r="R18" s="51" t="str">
        <v>TRX0070</v>
      </c>
      <c r="S18" s="52">
        <v>45476</v>
      </c>
      <c r="T18" s="52" t="str">
        <v>CUST007</v>
      </c>
      <c r="U18" s="51" t="str">
        <v>David Martinez</v>
      </c>
      <c r="V18" s="51" t="str">
        <v>P004</v>
      </c>
      <c r="W18" s="51" t="str">
        <v>Coffee Maker</v>
      </c>
      <c r="X18" s="10" t="str">
        <v>Appliances</v>
      </c>
      <c r="Y18" s="10">
        <v>5</v>
      </c>
      <c r="Z18" s="10">
        <v>79.99</v>
      </c>
      <c r="AA18" s="10" t="str">
        <v>Debit Card</v>
      </c>
      <c r="AB18" s="10" t="str">
        <v>Central</v>
      </c>
      <c r="AC18" s="10" t="str">
        <v>Basic</v>
      </c>
      <c r="AD18" s="57">
        <v>44981</v>
      </c>
      <c r="AE18" s="10">
        <v>399.95</v>
      </c>
      <c r="AF18" s="10">
        <v>7</v>
      </c>
      <c r="AG18" s="10">
        <v>2024</v>
      </c>
    </row>
    <row r="19" customHeight="1" spans="1:33">
      <c r="A19" s="51" t="s">
        <v>101</v>
      </c>
      <c r="B19" s="52">
        <v>45410</v>
      </c>
      <c r="C19" s="51" t="s">
        <v>102</v>
      </c>
      <c r="D19" s="51" t="s">
        <v>103</v>
      </c>
      <c r="E19" s="51" t="s">
        <v>94</v>
      </c>
      <c r="F19" s="51" t="s">
        <v>26</v>
      </c>
      <c r="G19" s="51" t="s">
        <v>10</v>
      </c>
      <c r="H19" s="51">
        <v>2</v>
      </c>
      <c r="I19" s="51">
        <v>699.99</v>
      </c>
      <c r="J19" s="51" t="s">
        <v>45</v>
      </c>
      <c r="K19" s="51" t="s">
        <v>11</v>
      </c>
      <c r="L19" s="51" t="s">
        <v>46</v>
      </c>
      <c r="M19" s="53">
        <v>44781</v>
      </c>
      <c r="N19" s="51">
        <v>1399.98</v>
      </c>
      <c r="O19" s="51">
        <f>MONTH(Table1[[#This Row],[Date]])</f>
        <v>4</v>
      </c>
      <c r="P19" s="51">
        <f>YEAR(Table1[[#This Row],[Date]])</f>
        <v>2024</v>
      </c>
      <c r="R19" s="51" t="str">
        <v>TRX0086</v>
      </c>
      <c r="S19" s="52">
        <v>45481</v>
      </c>
      <c r="T19" s="52" t="str">
        <v>CUST020</v>
      </c>
      <c r="U19" s="51" t="str">
        <v>Margaret Wright</v>
      </c>
      <c r="V19" s="51" t="str">
        <v>P008</v>
      </c>
      <c r="W19" s="51" t="str">
        <v>Bookshelf</v>
      </c>
      <c r="X19" s="10" t="str">
        <v>Furniture</v>
      </c>
      <c r="Y19" s="10">
        <v>1</v>
      </c>
      <c r="Z19" s="10">
        <v>149.99</v>
      </c>
      <c r="AA19" s="10" t="str">
        <v>PayPal</v>
      </c>
      <c r="AB19" s="10" t="str">
        <v>North</v>
      </c>
      <c r="AC19" s="10" t="str">
        <v>Basic</v>
      </c>
      <c r="AD19" s="57">
        <v>44421</v>
      </c>
      <c r="AE19" s="10">
        <v>149.99</v>
      </c>
      <c r="AF19" s="10">
        <v>7</v>
      </c>
      <c r="AG19" s="10">
        <v>2024</v>
      </c>
    </row>
    <row r="20" customHeight="1" spans="1:33">
      <c r="A20" s="51" t="s">
        <v>104</v>
      </c>
      <c r="B20" s="52">
        <v>45410</v>
      </c>
      <c r="C20" s="51" t="s">
        <v>99</v>
      </c>
      <c r="D20" s="51" t="s">
        <v>100</v>
      </c>
      <c r="E20" s="51" t="s">
        <v>77</v>
      </c>
      <c r="F20" s="51" t="s">
        <v>23</v>
      </c>
      <c r="G20" s="51" t="s">
        <v>10</v>
      </c>
      <c r="H20" s="51">
        <v>4</v>
      </c>
      <c r="I20" s="51">
        <v>899.99</v>
      </c>
      <c r="J20" s="51" t="s">
        <v>50</v>
      </c>
      <c r="K20" s="51" t="s">
        <v>15</v>
      </c>
      <c r="L20" s="51" t="s">
        <v>57</v>
      </c>
      <c r="M20" s="53">
        <v>45327</v>
      </c>
      <c r="N20" s="51">
        <v>3599.96</v>
      </c>
      <c r="O20" s="51">
        <f>MONTH(Table1[[#This Row],[Date]])</f>
        <v>4</v>
      </c>
      <c r="P20" s="51">
        <f>YEAR(Table1[[#This Row],[Date]])</f>
        <v>2024</v>
      </c>
      <c r="R20" s="51" t="str">
        <v>TRX0097</v>
      </c>
      <c r="S20" s="52">
        <v>45487</v>
      </c>
      <c r="T20" s="52" t="str">
        <v>CUST033</v>
      </c>
      <c r="U20" s="51" t="str">
        <v>Frank Torres</v>
      </c>
      <c r="V20" s="51" t="str">
        <v>P006</v>
      </c>
      <c r="W20" s="51" t="str">
        <v>Office Chair</v>
      </c>
      <c r="X20" s="10" t="str">
        <v>Furniture</v>
      </c>
      <c r="Y20" s="10">
        <v>2</v>
      </c>
      <c r="Z20" s="10">
        <v>199.99</v>
      </c>
      <c r="AA20" s="10" t="str">
        <v>Cash</v>
      </c>
      <c r="AB20" s="10" t="str">
        <v>North</v>
      </c>
      <c r="AC20" s="10" t="str">
        <v>Basic</v>
      </c>
      <c r="AD20" s="57">
        <v>44541</v>
      </c>
      <c r="AE20" s="10">
        <v>399.98</v>
      </c>
      <c r="AF20" s="10">
        <v>7</v>
      </c>
      <c r="AG20" s="10">
        <v>2024</v>
      </c>
    </row>
    <row r="21" customHeight="1" spans="1:33">
      <c r="A21" s="51" t="s">
        <v>105</v>
      </c>
      <c r="B21" s="52">
        <v>45410</v>
      </c>
      <c r="C21" s="51" t="s">
        <v>106</v>
      </c>
      <c r="D21" s="51" t="s">
        <v>107</v>
      </c>
      <c r="E21" s="51" t="s">
        <v>44</v>
      </c>
      <c r="F21" s="51" t="s">
        <v>24</v>
      </c>
      <c r="G21" s="51" t="s">
        <v>10</v>
      </c>
      <c r="H21" s="51">
        <v>3</v>
      </c>
      <c r="I21" s="51">
        <v>249.99</v>
      </c>
      <c r="J21" s="51" t="s">
        <v>50</v>
      </c>
      <c r="K21" s="51" t="s">
        <v>11</v>
      </c>
      <c r="L21" s="51" t="s">
        <v>51</v>
      </c>
      <c r="M21" s="53">
        <v>45224</v>
      </c>
      <c r="N21" s="51">
        <v>749.97</v>
      </c>
      <c r="O21" s="51">
        <f>MONTH(Table1[[#This Row],[Date]])</f>
        <v>4</v>
      </c>
      <c r="P21" s="51">
        <f>YEAR(Table1[[#This Row],[Date]])</f>
        <v>2024</v>
      </c>
      <c r="R21" s="51" t="str">
        <v>TRX0169</v>
      </c>
      <c r="S21" s="52">
        <v>45490</v>
      </c>
      <c r="T21" s="52" t="str">
        <v>CUST047</v>
      </c>
      <c r="U21" s="51" t="str">
        <v>Gerald Murphy</v>
      </c>
      <c r="V21" s="51" t="str">
        <v>P005</v>
      </c>
      <c r="W21" s="51" t="str">
        <v>Blender</v>
      </c>
      <c r="X21" s="10" t="str">
        <v>Appliances</v>
      </c>
      <c r="Y21" s="10">
        <v>3</v>
      </c>
      <c r="Z21" s="10">
        <v>59.99</v>
      </c>
      <c r="AA21" s="10" t="str">
        <v>Credit Card</v>
      </c>
      <c r="AB21" s="10" t="str">
        <v>West</v>
      </c>
      <c r="AC21" s="10" t="str">
        <v>Basic</v>
      </c>
      <c r="AD21" s="57">
        <v>45130</v>
      </c>
      <c r="AE21" s="10">
        <v>179.97</v>
      </c>
      <c r="AF21" s="10">
        <v>7</v>
      </c>
      <c r="AG21" s="10">
        <v>2024</v>
      </c>
    </row>
    <row r="22" customHeight="1" spans="1:33">
      <c r="A22" s="51" t="s">
        <v>108</v>
      </c>
      <c r="B22" s="52">
        <v>45412</v>
      </c>
      <c r="C22" s="51" t="s">
        <v>109</v>
      </c>
      <c r="D22" s="51" t="s">
        <v>110</v>
      </c>
      <c r="E22" s="51" t="s">
        <v>94</v>
      </c>
      <c r="F22" s="51" t="s">
        <v>26</v>
      </c>
      <c r="G22" s="51" t="s">
        <v>10</v>
      </c>
      <c r="H22" s="51">
        <v>5</v>
      </c>
      <c r="I22" s="51">
        <v>699.99</v>
      </c>
      <c r="J22" s="51" t="s">
        <v>45</v>
      </c>
      <c r="K22" s="51" t="s">
        <v>15</v>
      </c>
      <c r="L22" s="51" t="s">
        <v>46</v>
      </c>
      <c r="M22" s="53">
        <v>45167</v>
      </c>
      <c r="N22" s="51">
        <v>3499.95</v>
      </c>
      <c r="O22" s="51">
        <f>MONTH(Table1[[#This Row],[Date]])</f>
        <v>4</v>
      </c>
      <c r="P22" s="51">
        <f>YEAR(Table1[[#This Row],[Date]])</f>
        <v>2024</v>
      </c>
      <c r="R22" s="51" t="str">
        <v>TRX0228</v>
      </c>
      <c r="S22" s="52">
        <v>45500</v>
      </c>
      <c r="T22" s="52" t="str">
        <v>CUST019</v>
      </c>
      <c r="U22" s="51" t="str">
        <v>Daniel King</v>
      </c>
      <c r="V22" s="51" t="str">
        <v>P007</v>
      </c>
      <c r="W22" s="51" t="str">
        <v>Desk</v>
      </c>
      <c r="X22" s="10" t="str">
        <v>Furniture</v>
      </c>
      <c r="Y22" s="10">
        <v>1</v>
      </c>
      <c r="Z22" s="10">
        <v>299.99</v>
      </c>
      <c r="AA22" s="10" t="str">
        <v>Cash</v>
      </c>
      <c r="AB22" s="10" t="str">
        <v>South</v>
      </c>
      <c r="AC22" s="10" t="str">
        <v>Basic</v>
      </c>
      <c r="AD22" s="57">
        <v>44982</v>
      </c>
      <c r="AE22" s="10">
        <v>299.99</v>
      </c>
      <c r="AF22" s="10">
        <v>7</v>
      </c>
      <c r="AG22" s="10">
        <v>2024</v>
      </c>
    </row>
    <row r="23" customHeight="1" spans="1:33">
      <c r="A23" s="51" t="s">
        <v>111</v>
      </c>
      <c r="B23" s="52">
        <v>45413</v>
      </c>
      <c r="C23" s="51" t="s">
        <v>112</v>
      </c>
      <c r="D23" s="51" t="s">
        <v>113</v>
      </c>
      <c r="E23" s="51" t="s">
        <v>94</v>
      </c>
      <c r="F23" s="51" t="s">
        <v>26</v>
      </c>
      <c r="G23" s="51" t="s">
        <v>10</v>
      </c>
      <c r="H23" s="51">
        <v>4</v>
      </c>
      <c r="I23" s="51">
        <v>699.99</v>
      </c>
      <c r="J23" s="51" t="s">
        <v>45</v>
      </c>
      <c r="K23" s="51" t="s">
        <v>9</v>
      </c>
      <c r="L23" s="51" t="s">
        <v>57</v>
      </c>
      <c r="M23" s="53">
        <v>44409</v>
      </c>
      <c r="N23" s="51">
        <v>2799.96</v>
      </c>
      <c r="O23" s="51">
        <f>MONTH(Table1[[#This Row],[Date]])</f>
        <v>5</v>
      </c>
      <c r="P23" s="51">
        <f>YEAR(Table1[[#This Row],[Date]])</f>
        <v>2024</v>
      </c>
      <c r="R23" s="51" t="str">
        <v>TRX0157</v>
      </c>
      <c r="S23" s="52">
        <v>45501</v>
      </c>
      <c r="T23" s="52" t="str">
        <v>CUST025</v>
      </c>
      <c r="U23" s="51" t="str">
        <v>Mark Carter</v>
      </c>
      <c r="V23" s="51" t="str">
        <v>P010</v>
      </c>
      <c r="W23" s="51" t="str">
        <v>Keyboard</v>
      </c>
      <c r="X23" s="10" t="str">
        <v>Electronics</v>
      </c>
      <c r="Y23" s="10">
        <v>2</v>
      </c>
      <c r="Z23" s="10">
        <v>89.99</v>
      </c>
      <c r="AA23" s="10" t="str">
        <v>PayPal</v>
      </c>
      <c r="AB23" s="10" t="str">
        <v>South</v>
      </c>
      <c r="AC23" s="10" t="str">
        <v>Basic</v>
      </c>
      <c r="AD23" s="57">
        <v>44976</v>
      </c>
      <c r="AE23" s="10">
        <v>179.98</v>
      </c>
      <c r="AF23" s="10">
        <v>7</v>
      </c>
      <c r="AG23" s="10">
        <v>2024</v>
      </c>
    </row>
    <row r="24" customHeight="1" spans="1:33">
      <c r="A24" s="51" t="s">
        <v>114</v>
      </c>
      <c r="B24" s="52">
        <v>45415</v>
      </c>
      <c r="C24" s="51" t="s">
        <v>115</v>
      </c>
      <c r="D24" s="51" t="s">
        <v>116</v>
      </c>
      <c r="E24" s="51" t="s">
        <v>44</v>
      </c>
      <c r="F24" s="51" t="s">
        <v>24</v>
      </c>
      <c r="G24" s="51" t="s">
        <v>10</v>
      </c>
      <c r="H24" s="51">
        <v>4</v>
      </c>
      <c r="I24" s="51">
        <v>249.99</v>
      </c>
      <c r="J24" s="51" t="s">
        <v>56</v>
      </c>
      <c r="K24" s="51" t="s">
        <v>11</v>
      </c>
      <c r="L24" s="51" t="s">
        <v>57</v>
      </c>
      <c r="M24" s="53">
        <v>44468</v>
      </c>
      <c r="N24" s="51">
        <v>999.96</v>
      </c>
      <c r="O24" s="51">
        <f>MONTH(Table1[[#This Row],[Date]])</f>
        <v>5</v>
      </c>
      <c r="P24" s="51">
        <f>YEAR(Table1[[#This Row],[Date]])</f>
        <v>2024</v>
      </c>
      <c r="R24" s="51" t="str">
        <v>TRX0002</v>
      </c>
      <c r="S24" s="52">
        <v>45501</v>
      </c>
      <c r="T24" s="52" t="str">
        <v>CUST019</v>
      </c>
      <c r="U24" s="51" t="str">
        <v>Daniel King</v>
      </c>
      <c r="V24" s="51" t="str">
        <v>P007</v>
      </c>
      <c r="W24" s="51" t="str">
        <v>Desk</v>
      </c>
      <c r="X24" s="10" t="str">
        <v>Furniture</v>
      </c>
      <c r="Y24" s="10">
        <v>3</v>
      </c>
      <c r="Z24" s="10">
        <v>299.99</v>
      </c>
      <c r="AA24" s="10" t="str">
        <v>Cash</v>
      </c>
      <c r="AB24" s="10" t="str">
        <v>Central</v>
      </c>
      <c r="AC24" s="10" t="str">
        <v>Basic</v>
      </c>
      <c r="AD24" s="57">
        <v>44732</v>
      </c>
      <c r="AE24" s="10">
        <v>899.97</v>
      </c>
      <c r="AF24" s="10">
        <v>7</v>
      </c>
      <c r="AG24" s="10">
        <v>2024</v>
      </c>
    </row>
    <row r="25" customHeight="1" spans="1:33">
      <c r="A25" s="51" t="s">
        <v>117</v>
      </c>
      <c r="B25" s="52">
        <v>45416</v>
      </c>
      <c r="C25" s="51" t="s">
        <v>99</v>
      </c>
      <c r="D25" s="51" t="s">
        <v>100</v>
      </c>
      <c r="E25" s="51" t="s">
        <v>118</v>
      </c>
      <c r="F25" s="51" t="s">
        <v>20</v>
      </c>
      <c r="G25" s="51" t="s">
        <v>12</v>
      </c>
      <c r="H25" s="51">
        <v>4</v>
      </c>
      <c r="I25" s="51">
        <v>299.99</v>
      </c>
      <c r="J25" s="51" t="s">
        <v>45</v>
      </c>
      <c r="K25" s="51" t="s">
        <v>15</v>
      </c>
      <c r="L25" s="51" t="s">
        <v>51</v>
      </c>
      <c r="M25" s="53">
        <v>44716</v>
      </c>
      <c r="N25" s="51">
        <v>1199.96</v>
      </c>
      <c r="O25" s="51">
        <f>MONTH(Table1[[#This Row],[Date]])</f>
        <v>5</v>
      </c>
      <c r="P25" s="51">
        <f>YEAR(Table1[[#This Row],[Date]])</f>
        <v>2024</v>
      </c>
      <c r="R25" s="51" t="str">
        <v>TRX0065</v>
      </c>
      <c r="S25" s="52">
        <v>45509</v>
      </c>
      <c r="T25" s="52" t="str">
        <v>CUST016</v>
      </c>
      <c r="U25" s="51" t="str">
        <v>Elizabeth Hall</v>
      </c>
      <c r="V25" s="51" t="str">
        <v>P008</v>
      </c>
      <c r="W25" s="51" t="str">
        <v>Bookshelf</v>
      </c>
      <c r="X25" s="10" t="str">
        <v>Furniture</v>
      </c>
      <c r="Y25" s="10">
        <v>2</v>
      </c>
      <c r="Z25" s="10">
        <v>149.99</v>
      </c>
      <c r="AA25" s="10" t="str">
        <v>Credit Card</v>
      </c>
      <c r="AB25" s="10" t="str">
        <v>West</v>
      </c>
      <c r="AC25" s="10" t="str">
        <v>Basic</v>
      </c>
      <c r="AD25" s="57">
        <v>44542</v>
      </c>
      <c r="AE25" s="10">
        <v>299.98</v>
      </c>
      <c r="AF25" s="10">
        <v>8</v>
      </c>
      <c r="AG25" s="10">
        <v>2024</v>
      </c>
    </row>
    <row r="26" customHeight="1" spans="1:33">
      <c r="A26" s="51" t="s">
        <v>119</v>
      </c>
      <c r="B26" s="52">
        <v>45422</v>
      </c>
      <c r="C26" s="51" t="s">
        <v>120</v>
      </c>
      <c r="D26" s="51" t="s">
        <v>121</v>
      </c>
      <c r="E26" s="51" t="s">
        <v>44</v>
      </c>
      <c r="F26" s="51" t="s">
        <v>24</v>
      </c>
      <c r="G26" s="51" t="s">
        <v>10</v>
      </c>
      <c r="H26" s="51">
        <v>5</v>
      </c>
      <c r="I26" s="51">
        <v>249.99</v>
      </c>
      <c r="J26" s="51" t="s">
        <v>50</v>
      </c>
      <c r="K26" s="51" t="s">
        <v>15</v>
      </c>
      <c r="L26" s="51" t="s">
        <v>57</v>
      </c>
      <c r="M26" s="53">
        <v>44525</v>
      </c>
      <c r="N26" s="51">
        <v>1249.95</v>
      </c>
      <c r="O26" s="51">
        <f>MONTH(Table1[[#This Row],[Date]])</f>
        <v>5</v>
      </c>
      <c r="P26" s="51">
        <f>YEAR(Table1[[#This Row],[Date]])</f>
        <v>2024</v>
      </c>
      <c r="R26" s="51" t="str">
        <v>TRX0205</v>
      </c>
      <c r="S26" s="52">
        <v>45515</v>
      </c>
      <c r="T26" s="52" t="str">
        <v>CUST025</v>
      </c>
      <c r="U26" s="51" t="str">
        <v>Mark Carter</v>
      </c>
      <c r="V26" s="51" t="str">
        <v>P007</v>
      </c>
      <c r="W26" s="51" t="str">
        <v>Desk</v>
      </c>
      <c r="X26" s="10" t="str">
        <v>Furniture</v>
      </c>
      <c r="Y26" s="10">
        <v>5</v>
      </c>
      <c r="Z26" s="10">
        <v>299.99</v>
      </c>
      <c r="AA26" s="10" t="str">
        <v>Credit Card</v>
      </c>
      <c r="AB26" s="10" t="str">
        <v>North</v>
      </c>
      <c r="AC26" s="10" t="str">
        <v>Basic</v>
      </c>
      <c r="AD26" s="57">
        <v>44965</v>
      </c>
      <c r="AE26" s="10">
        <v>1499.95</v>
      </c>
      <c r="AF26" s="10">
        <v>8</v>
      </c>
      <c r="AG26" s="10">
        <v>2024</v>
      </c>
    </row>
    <row r="27" customHeight="1" spans="1:33">
      <c r="A27" s="51" t="s">
        <v>122</v>
      </c>
      <c r="B27" s="52">
        <v>45424</v>
      </c>
      <c r="C27" s="51" t="s">
        <v>82</v>
      </c>
      <c r="D27" s="51" t="s">
        <v>83</v>
      </c>
      <c r="E27" s="51" t="s">
        <v>118</v>
      </c>
      <c r="F27" s="51" t="s">
        <v>20</v>
      </c>
      <c r="G27" s="51" t="s">
        <v>12</v>
      </c>
      <c r="H27" s="51">
        <v>5</v>
      </c>
      <c r="I27" s="51">
        <v>299.99</v>
      </c>
      <c r="J27" s="51" t="s">
        <v>56</v>
      </c>
      <c r="K27" s="51" t="s">
        <v>9</v>
      </c>
      <c r="L27" s="51" t="s">
        <v>46</v>
      </c>
      <c r="M27" s="53">
        <v>45168</v>
      </c>
      <c r="N27" s="51">
        <v>1499.95</v>
      </c>
      <c r="O27" s="51">
        <f>MONTH(Table1[[#This Row],[Date]])</f>
        <v>5</v>
      </c>
      <c r="P27" s="51">
        <f>YEAR(Table1[[#This Row],[Date]])</f>
        <v>2024</v>
      </c>
      <c r="R27" s="51" t="str">
        <v>TRX0132</v>
      </c>
      <c r="S27" s="52">
        <v>45523</v>
      </c>
      <c r="T27" s="52" t="str">
        <v>CUST047</v>
      </c>
      <c r="U27" s="51" t="str">
        <v>Gerald Murphy</v>
      </c>
      <c r="V27" s="51" t="str">
        <v>P001</v>
      </c>
      <c r="W27" s="51" t="str">
        <v>Laptop</v>
      </c>
      <c r="X27" s="10" t="str">
        <v>Electronics</v>
      </c>
      <c r="Y27" s="10">
        <v>5</v>
      </c>
      <c r="Z27" s="10">
        <v>899.99</v>
      </c>
      <c r="AA27" s="10" t="str">
        <v>Debit Card</v>
      </c>
      <c r="AB27" s="10" t="str">
        <v>East</v>
      </c>
      <c r="AC27" s="10" t="str">
        <v>Basic</v>
      </c>
      <c r="AD27" s="57">
        <v>44526</v>
      </c>
      <c r="AE27" s="10">
        <v>4499.95</v>
      </c>
      <c r="AF27" s="10">
        <v>8</v>
      </c>
      <c r="AG27" s="10">
        <v>2024</v>
      </c>
    </row>
    <row r="28" customHeight="1" spans="1:33">
      <c r="A28" s="51" t="s">
        <v>123</v>
      </c>
      <c r="B28" s="52">
        <v>45424</v>
      </c>
      <c r="C28" s="51" t="s">
        <v>124</v>
      </c>
      <c r="D28" s="51" t="s">
        <v>125</v>
      </c>
      <c r="E28" s="51" t="s">
        <v>126</v>
      </c>
      <c r="F28" s="51" t="s">
        <v>19</v>
      </c>
      <c r="G28" s="51" t="s">
        <v>8</v>
      </c>
      <c r="H28" s="51">
        <v>3</v>
      </c>
      <c r="I28" s="51">
        <v>79.99</v>
      </c>
      <c r="J28" s="51" t="s">
        <v>56</v>
      </c>
      <c r="K28" s="51" t="s">
        <v>9</v>
      </c>
      <c r="L28" s="51" t="s">
        <v>51</v>
      </c>
      <c r="M28" s="53">
        <v>45012</v>
      </c>
      <c r="N28" s="51">
        <v>239.97</v>
      </c>
      <c r="O28" s="51">
        <f>MONTH(Table1[[#This Row],[Date]])</f>
        <v>5</v>
      </c>
      <c r="P28" s="51">
        <f>YEAR(Table1[[#This Row],[Date]])</f>
        <v>2024</v>
      </c>
      <c r="R28" s="51" t="str">
        <v>TRX0031</v>
      </c>
      <c r="S28" s="52">
        <v>45523</v>
      </c>
      <c r="T28" s="52" t="str">
        <v>CUST036</v>
      </c>
      <c r="U28" s="51" t="str">
        <v>Nancy Collins</v>
      </c>
      <c r="V28" s="51" t="str">
        <v>P003</v>
      </c>
      <c r="W28" s="51" t="str">
        <v>Headphones</v>
      </c>
      <c r="X28" s="10" t="str">
        <v>Electronics</v>
      </c>
      <c r="Y28" s="10">
        <v>3</v>
      </c>
      <c r="Z28" s="10">
        <v>149.99</v>
      </c>
      <c r="AA28" s="10" t="str">
        <v>PayPal</v>
      </c>
      <c r="AB28" s="10" t="str">
        <v>East</v>
      </c>
      <c r="AC28" s="10" t="str">
        <v>Basic</v>
      </c>
      <c r="AD28" s="57">
        <v>44574</v>
      </c>
      <c r="AE28" s="10">
        <v>449.97</v>
      </c>
      <c r="AF28" s="10">
        <v>8</v>
      </c>
      <c r="AG28" s="10">
        <v>2024</v>
      </c>
    </row>
    <row r="29" customHeight="1" spans="1:33">
      <c r="A29" s="51" t="s">
        <v>127</v>
      </c>
      <c r="B29" s="52">
        <v>45424</v>
      </c>
      <c r="C29" s="51" t="s">
        <v>112</v>
      </c>
      <c r="D29" s="51" t="s">
        <v>113</v>
      </c>
      <c r="E29" s="51" t="s">
        <v>128</v>
      </c>
      <c r="F29" s="51" t="s">
        <v>22</v>
      </c>
      <c r="G29" s="51" t="s">
        <v>10</v>
      </c>
      <c r="H29" s="51">
        <v>5</v>
      </c>
      <c r="I29" s="51">
        <v>89.99</v>
      </c>
      <c r="J29" s="51" t="s">
        <v>45</v>
      </c>
      <c r="K29" s="51" t="s">
        <v>11</v>
      </c>
      <c r="L29" s="51" t="s">
        <v>51</v>
      </c>
      <c r="M29" s="53">
        <v>44919</v>
      </c>
      <c r="N29" s="51">
        <v>449.95</v>
      </c>
      <c r="O29" s="51">
        <f>MONTH(Table1[[#This Row],[Date]])</f>
        <v>5</v>
      </c>
      <c r="P29" s="51">
        <f>YEAR(Table1[[#This Row],[Date]])</f>
        <v>2024</v>
      </c>
      <c r="R29" s="51" t="str">
        <v>TRX0236</v>
      </c>
      <c r="S29" s="52">
        <v>45526</v>
      </c>
      <c r="T29" s="52" t="str">
        <v>CUST044</v>
      </c>
      <c r="U29" s="51" t="str">
        <v>Cynthia Price</v>
      </c>
      <c r="V29" s="51" t="str">
        <v>P008</v>
      </c>
      <c r="W29" s="51" t="str">
        <v>Bookshelf</v>
      </c>
      <c r="X29" s="10" t="str">
        <v>Furniture</v>
      </c>
      <c r="Y29" s="10">
        <v>5</v>
      </c>
      <c r="Z29" s="10">
        <v>149.99</v>
      </c>
      <c r="AA29" s="10" t="str">
        <v>Credit Card</v>
      </c>
      <c r="AB29" s="10" t="str">
        <v>Central</v>
      </c>
      <c r="AC29" s="10" t="str">
        <v>Basic</v>
      </c>
      <c r="AD29" s="57">
        <v>45310</v>
      </c>
      <c r="AE29" s="10">
        <v>749.95</v>
      </c>
      <c r="AF29" s="10">
        <v>8</v>
      </c>
      <c r="AG29" s="10">
        <v>2024</v>
      </c>
    </row>
    <row r="30" customHeight="1" spans="1:33">
      <c r="A30" s="51" t="s">
        <v>129</v>
      </c>
      <c r="B30" s="52">
        <v>45425</v>
      </c>
      <c r="C30" s="51" t="s">
        <v>130</v>
      </c>
      <c r="D30" s="51" t="s">
        <v>131</v>
      </c>
      <c r="E30" s="51" t="s">
        <v>55</v>
      </c>
      <c r="F30" s="51" t="s">
        <v>17</v>
      </c>
      <c r="G30" s="51" t="s">
        <v>8</v>
      </c>
      <c r="H30" s="51">
        <v>2</v>
      </c>
      <c r="I30" s="51">
        <v>59.99</v>
      </c>
      <c r="J30" s="51" t="s">
        <v>73</v>
      </c>
      <c r="K30" s="51" t="s">
        <v>7</v>
      </c>
      <c r="L30" s="51" t="s">
        <v>57</v>
      </c>
      <c r="M30" s="53">
        <v>45214</v>
      </c>
      <c r="N30" s="51">
        <v>119.98</v>
      </c>
      <c r="O30" s="51">
        <f>MONTH(Table1[[#This Row],[Date]])</f>
        <v>5</v>
      </c>
      <c r="P30" s="51">
        <f>YEAR(Table1[[#This Row],[Date]])</f>
        <v>2024</v>
      </c>
      <c r="R30" s="51" t="str">
        <v>TRX0112</v>
      </c>
      <c r="S30" s="52">
        <v>45544</v>
      </c>
      <c r="T30" s="52" t="str">
        <v>CUST008</v>
      </c>
      <c r="U30" s="51" t="str">
        <v>Jennifer Taylor</v>
      </c>
      <c r="V30" s="51" t="str">
        <v>P004</v>
      </c>
      <c r="W30" s="51" t="str">
        <v>Coffee Maker</v>
      </c>
      <c r="X30" s="10" t="str">
        <v>Appliances</v>
      </c>
      <c r="Y30" s="10">
        <v>4</v>
      </c>
      <c r="Z30" s="10">
        <v>79.99</v>
      </c>
      <c r="AA30" s="10" t="str">
        <v>Cash</v>
      </c>
      <c r="AB30" s="10" t="str">
        <v>North</v>
      </c>
      <c r="AC30" s="10" t="str">
        <v>Basic</v>
      </c>
      <c r="AD30" s="57">
        <v>44530</v>
      </c>
      <c r="AE30" s="10">
        <v>319.96</v>
      </c>
      <c r="AF30" s="10">
        <v>9</v>
      </c>
      <c r="AG30" s="10">
        <v>2024</v>
      </c>
    </row>
    <row r="31" customHeight="1" spans="1:33">
      <c r="A31" s="51" t="s">
        <v>132</v>
      </c>
      <c r="B31" s="52">
        <v>45427</v>
      </c>
      <c r="C31" s="51" t="s">
        <v>133</v>
      </c>
      <c r="D31" s="51" t="s">
        <v>134</v>
      </c>
      <c r="E31" s="51" t="s">
        <v>55</v>
      </c>
      <c r="F31" s="51" t="s">
        <v>17</v>
      </c>
      <c r="G31" s="51" t="s">
        <v>8</v>
      </c>
      <c r="H31" s="51">
        <v>4</v>
      </c>
      <c r="I31" s="51">
        <v>59.99</v>
      </c>
      <c r="J31" s="51" t="s">
        <v>73</v>
      </c>
      <c r="K31" s="51" t="s">
        <v>9</v>
      </c>
      <c r="L31" s="51" t="s">
        <v>57</v>
      </c>
      <c r="M31" s="53">
        <v>44867</v>
      </c>
      <c r="N31" s="51">
        <v>239.96</v>
      </c>
      <c r="O31" s="51">
        <f>MONTH(Table1[[#This Row],[Date]])</f>
        <v>5</v>
      </c>
      <c r="P31" s="51">
        <f>YEAR(Table1[[#This Row],[Date]])</f>
        <v>2024</v>
      </c>
      <c r="R31" s="51" t="str">
        <v>TRX0161</v>
      </c>
      <c r="S31" s="52">
        <v>45545</v>
      </c>
      <c r="T31" s="52" t="str">
        <v>CUST017</v>
      </c>
      <c r="U31" s="51" t="str">
        <v>Charles Allen</v>
      </c>
      <c r="V31" s="51" t="str">
        <v>P004</v>
      </c>
      <c r="W31" s="51" t="str">
        <v>Coffee Maker</v>
      </c>
      <c r="X31" s="10" t="str">
        <v>Appliances</v>
      </c>
      <c r="Y31" s="10">
        <v>1</v>
      </c>
      <c r="Z31" s="10">
        <v>79.99</v>
      </c>
      <c r="AA31" s="10" t="str">
        <v>Cash</v>
      </c>
      <c r="AB31" s="10" t="str">
        <v>West</v>
      </c>
      <c r="AC31" s="10" t="str">
        <v>Basic</v>
      </c>
      <c r="AD31" s="57">
        <v>44693</v>
      </c>
      <c r="AE31" s="10">
        <v>79.99</v>
      </c>
      <c r="AF31" s="10">
        <v>9</v>
      </c>
      <c r="AG31" s="10">
        <v>2024</v>
      </c>
    </row>
    <row r="32" customHeight="1" spans="1:33">
      <c r="A32" s="51" t="s">
        <v>135</v>
      </c>
      <c r="B32" s="52">
        <v>45427</v>
      </c>
      <c r="C32" s="51" t="s">
        <v>71</v>
      </c>
      <c r="D32" s="51" t="s">
        <v>72</v>
      </c>
      <c r="E32" s="51" t="s">
        <v>136</v>
      </c>
      <c r="F32" s="51" t="s">
        <v>25</v>
      </c>
      <c r="G32" s="51" t="s">
        <v>12</v>
      </c>
      <c r="H32" s="51">
        <v>5</v>
      </c>
      <c r="I32" s="51">
        <v>199.99</v>
      </c>
      <c r="J32" s="51" t="s">
        <v>45</v>
      </c>
      <c r="K32" s="51" t="s">
        <v>13</v>
      </c>
      <c r="L32" s="51" t="s">
        <v>57</v>
      </c>
      <c r="M32" s="53">
        <v>44412</v>
      </c>
      <c r="N32" s="51">
        <v>999.95</v>
      </c>
      <c r="O32" s="51">
        <f>MONTH(Table1[[#This Row],[Date]])</f>
        <v>5</v>
      </c>
      <c r="P32" s="51">
        <f>YEAR(Table1[[#This Row],[Date]])</f>
        <v>2024</v>
      </c>
      <c r="R32" s="51" t="str">
        <v>TRX0005</v>
      </c>
      <c r="S32" s="52">
        <v>45550</v>
      </c>
      <c r="T32" s="52" t="str">
        <v>CUST042</v>
      </c>
      <c r="U32" s="51" t="str">
        <v>Ruth Brooks</v>
      </c>
      <c r="V32" s="51" t="str">
        <v>P003</v>
      </c>
      <c r="W32" s="51" t="str">
        <v>Headphones</v>
      </c>
      <c r="X32" s="10" t="str">
        <v>Electronics</v>
      </c>
      <c r="Y32" s="10">
        <v>4</v>
      </c>
      <c r="Z32" s="10">
        <v>149.99</v>
      </c>
      <c r="AA32" s="10" t="str">
        <v>Cash</v>
      </c>
      <c r="AB32" s="10" t="str">
        <v>North</v>
      </c>
      <c r="AC32" s="10" t="str">
        <v>Basic</v>
      </c>
      <c r="AD32" s="57">
        <v>44909</v>
      </c>
      <c r="AE32" s="10">
        <v>599.96</v>
      </c>
      <c r="AF32" s="10">
        <v>9</v>
      </c>
      <c r="AG32" s="10">
        <v>2024</v>
      </c>
    </row>
    <row r="33" customHeight="1" spans="1:33">
      <c r="A33" s="51" t="s">
        <v>137</v>
      </c>
      <c r="B33" s="52">
        <v>45428</v>
      </c>
      <c r="C33" s="51" t="s">
        <v>138</v>
      </c>
      <c r="D33" s="51" t="s">
        <v>139</v>
      </c>
      <c r="E33" s="51" t="s">
        <v>64</v>
      </c>
      <c r="F33" s="51" t="s">
        <v>18</v>
      </c>
      <c r="G33" s="51" t="s">
        <v>12</v>
      </c>
      <c r="H33" s="51">
        <v>2</v>
      </c>
      <c r="I33" s="51">
        <v>149.99</v>
      </c>
      <c r="J33" s="51" t="s">
        <v>50</v>
      </c>
      <c r="K33" s="51" t="s">
        <v>15</v>
      </c>
      <c r="L33" s="51" t="s">
        <v>46</v>
      </c>
      <c r="M33" s="53">
        <v>44823</v>
      </c>
      <c r="N33" s="51">
        <v>299.98</v>
      </c>
      <c r="O33" s="51">
        <f>MONTH(Table1[[#This Row],[Date]])</f>
        <v>5</v>
      </c>
      <c r="P33" s="51">
        <f>YEAR(Table1[[#This Row],[Date]])</f>
        <v>2024</v>
      </c>
      <c r="R33" s="51" t="str">
        <v>TRX0195</v>
      </c>
      <c r="S33" s="52">
        <v>45551</v>
      </c>
      <c r="T33" s="52" t="str">
        <v>CUST026</v>
      </c>
      <c r="U33" s="51" t="str">
        <v>Karen Hill</v>
      </c>
      <c r="V33" s="51" t="str">
        <v>P009</v>
      </c>
      <c r="W33" s="51" t="str">
        <v>Monitor</v>
      </c>
      <c r="X33" s="10" t="str">
        <v>Electronics</v>
      </c>
      <c r="Y33" s="10">
        <v>2</v>
      </c>
      <c r="Z33" s="10">
        <v>249.99</v>
      </c>
      <c r="AA33" s="10" t="str">
        <v>PayPal</v>
      </c>
      <c r="AB33" s="10" t="str">
        <v>South</v>
      </c>
      <c r="AC33" s="10" t="str">
        <v>Basic</v>
      </c>
      <c r="AD33" s="57">
        <v>44993</v>
      </c>
      <c r="AE33" s="10">
        <v>499.98</v>
      </c>
      <c r="AF33" s="10">
        <v>9</v>
      </c>
      <c r="AG33" s="10">
        <v>2024</v>
      </c>
    </row>
    <row r="34" customHeight="1" spans="1:33">
      <c r="A34" s="51" t="s">
        <v>140</v>
      </c>
      <c r="B34" s="52">
        <v>45430</v>
      </c>
      <c r="C34" s="51" t="s">
        <v>141</v>
      </c>
      <c r="D34" s="51" t="s">
        <v>142</v>
      </c>
      <c r="E34" s="51" t="s">
        <v>64</v>
      </c>
      <c r="F34" s="51" t="s">
        <v>18</v>
      </c>
      <c r="G34" s="51" t="s">
        <v>12</v>
      </c>
      <c r="H34" s="51">
        <v>3</v>
      </c>
      <c r="I34" s="51">
        <v>149.99</v>
      </c>
      <c r="J34" s="51" t="s">
        <v>50</v>
      </c>
      <c r="K34" s="51" t="s">
        <v>15</v>
      </c>
      <c r="L34" s="51" t="s">
        <v>51</v>
      </c>
      <c r="M34" s="53">
        <v>45068</v>
      </c>
      <c r="N34" s="51">
        <v>449.97</v>
      </c>
      <c r="O34" s="51">
        <f>MONTH(Table1[[#This Row],[Date]])</f>
        <v>5</v>
      </c>
      <c r="P34" s="51">
        <f>YEAR(Table1[[#This Row],[Date]])</f>
        <v>2024</v>
      </c>
      <c r="R34" s="51" t="str">
        <v>TRX0054</v>
      </c>
      <c r="S34" s="52">
        <v>45551</v>
      </c>
      <c r="T34" s="52" t="str">
        <v>CUST004</v>
      </c>
      <c r="U34" s="51" t="str">
        <v>Sarah Davis</v>
      </c>
      <c r="V34" s="51" t="str">
        <v>P006</v>
      </c>
      <c r="W34" s="51" t="str">
        <v>Office Chair</v>
      </c>
      <c r="X34" s="10" t="str">
        <v>Furniture</v>
      </c>
      <c r="Y34" s="10">
        <v>4</v>
      </c>
      <c r="Z34" s="10">
        <v>199.99</v>
      </c>
      <c r="AA34" s="10" t="str">
        <v>Debit Card</v>
      </c>
      <c r="AB34" s="10" t="str">
        <v>East</v>
      </c>
      <c r="AC34" s="10" t="str">
        <v>Basic</v>
      </c>
      <c r="AD34" s="57">
        <v>44458</v>
      </c>
      <c r="AE34" s="10">
        <v>799.96</v>
      </c>
      <c r="AF34" s="10">
        <v>9</v>
      </c>
      <c r="AG34" s="10">
        <v>2024</v>
      </c>
    </row>
    <row r="35" customHeight="1" spans="1:33">
      <c r="A35" s="51" t="s">
        <v>143</v>
      </c>
      <c r="B35" s="52">
        <v>45432</v>
      </c>
      <c r="C35" s="51" t="s">
        <v>53</v>
      </c>
      <c r="D35" s="51" t="s">
        <v>54</v>
      </c>
      <c r="E35" s="51" t="s">
        <v>77</v>
      </c>
      <c r="F35" s="51" t="s">
        <v>23</v>
      </c>
      <c r="G35" s="51" t="s">
        <v>10</v>
      </c>
      <c r="H35" s="51">
        <v>1</v>
      </c>
      <c r="I35" s="51">
        <v>899.99</v>
      </c>
      <c r="J35" s="51" t="s">
        <v>50</v>
      </c>
      <c r="K35" s="51" t="s">
        <v>15</v>
      </c>
      <c r="L35" s="51" t="s">
        <v>51</v>
      </c>
      <c r="M35" s="53">
        <v>44578</v>
      </c>
      <c r="N35" s="51">
        <v>899.99</v>
      </c>
      <c r="O35" s="51">
        <f>MONTH(Table1[[#This Row],[Date]])</f>
        <v>5</v>
      </c>
      <c r="P35" s="51">
        <f>YEAR(Table1[[#This Row],[Date]])</f>
        <v>2024</v>
      </c>
      <c r="R35" s="51" t="str">
        <v>TRX0123</v>
      </c>
      <c r="S35" s="52">
        <v>45554</v>
      </c>
      <c r="T35" s="52" t="str">
        <v>CUST041</v>
      </c>
      <c r="U35" s="51" t="str">
        <v>Peter Richardson</v>
      </c>
      <c r="V35" s="51" t="str">
        <v>P002</v>
      </c>
      <c r="W35" s="51" t="str">
        <v>Smartphone</v>
      </c>
      <c r="X35" s="10" t="str">
        <v>Electronics</v>
      </c>
      <c r="Y35" s="10">
        <v>4</v>
      </c>
      <c r="Z35" s="10">
        <v>699.99</v>
      </c>
      <c r="AA35" s="10" t="str">
        <v>PayPal</v>
      </c>
      <c r="AB35" s="10" t="str">
        <v>South</v>
      </c>
      <c r="AC35" s="10" t="str">
        <v>Basic</v>
      </c>
      <c r="AD35" s="57">
        <v>44618</v>
      </c>
      <c r="AE35" s="10">
        <v>2799.96</v>
      </c>
      <c r="AF35" s="10">
        <v>9</v>
      </c>
      <c r="AG35" s="10">
        <v>2024</v>
      </c>
    </row>
    <row r="36" customHeight="1" spans="1:33">
      <c r="A36" s="51" t="s">
        <v>144</v>
      </c>
      <c r="B36" s="52">
        <v>45434</v>
      </c>
      <c r="C36" s="51" t="s">
        <v>112</v>
      </c>
      <c r="D36" s="51" t="s">
        <v>113</v>
      </c>
      <c r="E36" s="51" t="s">
        <v>118</v>
      </c>
      <c r="F36" s="51" t="s">
        <v>20</v>
      </c>
      <c r="G36" s="51" t="s">
        <v>12</v>
      </c>
      <c r="H36" s="51">
        <v>3</v>
      </c>
      <c r="I36" s="51">
        <v>299.99</v>
      </c>
      <c r="J36" s="51" t="s">
        <v>50</v>
      </c>
      <c r="K36" s="51" t="s">
        <v>9</v>
      </c>
      <c r="L36" s="51" t="s">
        <v>46</v>
      </c>
      <c r="M36" s="53">
        <v>44824</v>
      </c>
      <c r="N36" s="51">
        <v>899.97</v>
      </c>
      <c r="O36" s="51">
        <f>MONTH(Table1[[#This Row],[Date]])</f>
        <v>5</v>
      </c>
      <c r="P36" s="51">
        <f>YEAR(Table1[[#This Row],[Date]])</f>
        <v>2024</v>
      </c>
      <c r="R36" s="51" t="str">
        <v>TRX0119</v>
      </c>
      <c r="S36" s="52">
        <v>45560</v>
      </c>
      <c r="T36" s="52" t="str">
        <v>CUST014</v>
      </c>
      <c r="U36" s="51" t="str">
        <v>Linda Martin</v>
      </c>
      <c r="V36" s="51" t="str">
        <v>P008</v>
      </c>
      <c r="W36" s="51" t="str">
        <v>Bookshelf</v>
      </c>
      <c r="X36" s="10" t="str">
        <v>Furniture</v>
      </c>
      <c r="Y36" s="10">
        <v>3</v>
      </c>
      <c r="Z36" s="10">
        <v>149.99</v>
      </c>
      <c r="AA36" s="10" t="str">
        <v>PayPal</v>
      </c>
      <c r="AB36" s="10" t="str">
        <v>East</v>
      </c>
      <c r="AC36" s="10" t="str">
        <v>Basic</v>
      </c>
      <c r="AD36" s="57">
        <v>44886</v>
      </c>
      <c r="AE36" s="10">
        <v>449.97</v>
      </c>
      <c r="AF36" s="10">
        <v>9</v>
      </c>
      <c r="AG36" s="10">
        <v>2024</v>
      </c>
    </row>
    <row r="37" customHeight="1" spans="1:33">
      <c r="A37" s="51" t="s">
        <v>145</v>
      </c>
      <c r="B37" s="52">
        <v>45435</v>
      </c>
      <c r="C37" s="51" t="s">
        <v>138</v>
      </c>
      <c r="D37" s="51" t="s">
        <v>139</v>
      </c>
      <c r="E37" s="51" t="s">
        <v>126</v>
      </c>
      <c r="F37" s="51" t="s">
        <v>19</v>
      </c>
      <c r="G37" s="51" t="s">
        <v>8</v>
      </c>
      <c r="H37" s="51">
        <v>3</v>
      </c>
      <c r="I37" s="51">
        <v>79.99</v>
      </c>
      <c r="J37" s="51" t="s">
        <v>45</v>
      </c>
      <c r="K37" s="51" t="s">
        <v>13</v>
      </c>
      <c r="L37" s="51" t="s">
        <v>46</v>
      </c>
      <c r="M37" s="53">
        <v>45046</v>
      </c>
      <c r="N37" s="51">
        <v>239.97</v>
      </c>
      <c r="O37" s="51">
        <f>MONTH(Table1[[#This Row],[Date]])</f>
        <v>5</v>
      </c>
      <c r="P37" s="51">
        <f>YEAR(Table1[[#This Row],[Date]])</f>
        <v>2024</v>
      </c>
      <c r="R37" s="51" t="str">
        <v>TRX0181</v>
      </c>
      <c r="S37" s="52">
        <v>45563</v>
      </c>
      <c r="T37" s="52" t="str">
        <v>CUST012</v>
      </c>
      <c r="U37" s="51" t="str">
        <v>Patricia Moore</v>
      </c>
      <c r="V37" s="51" t="str">
        <v>P007</v>
      </c>
      <c r="W37" s="51" t="str">
        <v>Desk</v>
      </c>
      <c r="X37" s="10" t="str">
        <v>Furniture</v>
      </c>
      <c r="Y37" s="10">
        <v>2</v>
      </c>
      <c r="Z37" s="10">
        <v>299.99</v>
      </c>
      <c r="AA37" s="10" t="str">
        <v>Debit Card</v>
      </c>
      <c r="AB37" s="10" t="str">
        <v>Central</v>
      </c>
      <c r="AC37" s="10" t="str">
        <v>Basic</v>
      </c>
      <c r="AD37" s="57">
        <v>44569</v>
      </c>
      <c r="AE37" s="10">
        <v>599.98</v>
      </c>
      <c r="AF37" s="10">
        <v>9</v>
      </c>
      <c r="AG37" s="10">
        <v>2024</v>
      </c>
    </row>
    <row r="38" customHeight="1" spans="1:33">
      <c r="A38" s="51" t="s">
        <v>146</v>
      </c>
      <c r="B38" s="52">
        <v>45438</v>
      </c>
      <c r="C38" s="51" t="s">
        <v>147</v>
      </c>
      <c r="D38" s="51" t="s">
        <v>148</v>
      </c>
      <c r="E38" s="51" t="s">
        <v>136</v>
      </c>
      <c r="F38" s="51" t="s">
        <v>25</v>
      </c>
      <c r="G38" s="51" t="s">
        <v>12</v>
      </c>
      <c r="H38" s="51">
        <v>3</v>
      </c>
      <c r="I38" s="51">
        <v>199.99</v>
      </c>
      <c r="J38" s="51" t="s">
        <v>50</v>
      </c>
      <c r="K38" s="51" t="s">
        <v>11</v>
      </c>
      <c r="L38" s="51" t="s">
        <v>51</v>
      </c>
      <c r="M38" s="53">
        <v>45292</v>
      </c>
      <c r="N38" s="51">
        <v>599.97</v>
      </c>
      <c r="O38" s="51">
        <f>MONTH(Table1[[#This Row],[Date]])</f>
        <v>5</v>
      </c>
      <c r="P38" s="51">
        <f>YEAR(Table1[[#This Row],[Date]])</f>
        <v>2024</v>
      </c>
      <c r="R38" s="51" t="str">
        <v>TRX0146</v>
      </c>
      <c r="S38" s="52">
        <v>45572</v>
      </c>
      <c r="T38" s="52" t="str">
        <v>CUST010</v>
      </c>
      <c r="U38" s="51" t="str">
        <v>Maria Garcia</v>
      </c>
      <c r="V38" s="51" t="str">
        <v>P005</v>
      </c>
      <c r="W38" s="51" t="str">
        <v>Blender</v>
      </c>
      <c r="X38" s="10" t="str">
        <v>Appliances</v>
      </c>
      <c r="Y38" s="10">
        <v>2</v>
      </c>
      <c r="Z38" s="10">
        <v>59.99</v>
      </c>
      <c r="AA38" s="10" t="str">
        <v>Credit Card</v>
      </c>
      <c r="AB38" s="10" t="str">
        <v>Central</v>
      </c>
      <c r="AC38" s="10" t="str">
        <v>Basic</v>
      </c>
      <c r="AD38" s="57">
        <v>44579</v>
      </c>
      <c r="AE38" s="10">
        <v>119.98</v>
      </c>
      <c r="AF38" s="10">
        <v>10</v>
      </c>
      <c r="AG38" s="10">
        <v>2024</v>
      </c>
    </row>
    <row r="39" customHeight="1" spans="1:33">
      <c r="A39" s="51" t="s">
        <v>149</v>
      </c>
      <c r="B39" s="52">
        <v>45440</v>
      </c>
      <c r="C39" s="51" t="s">
        <v>150</v>
      </c>
      <c r="D39" s="51" t="s">
        <v>151</v>
      </c>
      <c r="E39" s="51" t="s">
        <v>94</v>
      </c>
      <c r="F39" s="51" t="s">
        <v>26</v>
      </c>
      <c r="G39" s="51" t="s">
        <v>10</v>
      </c>
      <c r="H39" s="51">
        <v>5</v>
      </c>
      <c r="I39" s="51">
        <v>699.99</v>
      </c>
      <c r="J39" s="51" t="s">
        <v>56</v>
      </c>
      <c r="K39" s="51" t="s">
        <v>15</v>
      </c>
      <c r="L39" s="51" t="s">
        <v>57</v>
      </c>
      <c r="M39" s="53">
        <v>44407</v>
      </c>
      <c r="N39" s="51">
        <v>3499.95</v>
      </c>
      <c r="O39" s="51">
        <f>MONTH(Table1[[#This Row],[Date]])</f>
        <v>5</v>
      </c>
      <c r="P39" s="51">
        <f>YEAR(Table1[[#This Row],[Date]])</f>
        <v>2024</v>
      </c>
      <c r="R39" s="51" t="str">
        <v>TRX0158</v>
      </c>
      <c r="S39" s="52">
        <v>45579</v>
      </c>
      <c r="T39" s="52" t="str">
        <v>CUST027</v>
      </c>
      <c r="U39" s="51" t="str">
        <v>George Adams</v>
      </c>
      <c r="V39" s="51" t="str">
        <v>P001</v>
      </c>
      <c r="W39" s="51" t="str">
        <v>Laptop</v>
      </c>
      <c r="X39" s="10" t="str">
        <v>Electronics</v>
      </c>
      <c r="Y39" s="10">
        <v>3</v>
      </c>
      <c r="Z39" s="10">
        <v>899.99</v>
      </c>
      <c r="AA39" s="10" t="str">
        <v>PayPal</v>
      </c>
      <c r="AB39" s="10" t="str">
        <v>West</v>
      </c>
      <c r="AC39" s="10" t="str">
        <v>Basic</v>
      </c>
      <c r="AD39" s="57">
        <v>45215</v>
      </c>
      <c r="AE39" s="10">
        <v>2699.97</v>
      </c>
      <c r="AF39" s="10">
        <v>10</v>
      </c>
      <c r="AG39" s="10">
        <v>2024</v>
      </c>
    </row>
    <row r="40" customHeight="1" spans="1:33">
      <c r="A40" s="51" t="s">
        <v>152</v>
      </c>
      <c r="B40" s="52">
        <v>45441</v>
      </c>
      <c r="C40" s="51" t="s">
        <v>153</v>
      </c>
      <c r="D40" s="51" t="s">
        <v>154</v>
      </c>
      <c r="E40" s="51" t="s">
        <v>128</v>
      </c>
      <c r="F40" s="51" t="s">
        <v>22</v>
      </c>
      <c r="G40" s="51" t="s">
        <v>10</v>
      </c>
      <c r="H40" s="51">
        <v>3</v>
      </c>
      <c r="I40" s="51">
        <v>89.99</v>
      </c>
      <c r="J40" s="51" t="s">
        <v>56</v>
      </c>
      <c r="K40" s="51" t="s">
        <v>7</v>
      </c>
      <c r="L40" s="51" t="s">
        <v>51</v>
      </c>
      <c r="M40" s="53">
        <v>45120</v>
      </c>
      <c r="N40" s="51">
        <v>269.97</v>
      </c>
      <c r="O40" s="51">
        <f>MONTH(Table1[[#This Row],[Date]])</f>
        <v>5</v>
      </c>
      <c r="P40" s="51">
        <f>YEAR(Table1[[#This Row],[Date]])</f>
        <v>2024</v>
      </c>
      <c r="R40" s="51" t="str">
        <v>TRX0034</v>
      </c>
      <c r="S40" s="52">
        <v>45581</v>
      </c>
      <c r="T40" s="52" t="str">
        <v>CUST049</v>
      </c>
      <c r="U40" s="51" t="str">
        <v>Raymond Ross</v>
      </c>
      <c r="V40" s="51" t="str">
        <v>P002</v>
      </c>
      <c r="W40" s="51" t="str">
        <v>Smartphone</v>
      </c>
      <c r="X40" s="10" t="str">
        <v>Electronics</v>
      </c>
      <c r="Y40" s="10">
        <v>4</v>
      </c>
      <c r="Z40" s="10">
        <v>699.99</v>
      </c>
      <c r="AA40" s="10" t="str">
        <v>Credit Card</v>
      </c>
      <c r="AB40" s="10" t="str">
        <v>Central</v>
      </c>
      <c r="AC40" s="10" t="str">
        <v>Basic</v>
      </c>
      <c r="AD40" s="57">
        <v>45385</v>
      </c>
      <c r="AE40" s="10">
        <v>2799.96</v>
      </c>
      <c r="AF40" s="10">
        <v>10</v>
      </c>
      <c r="AG40" s="10">
        <v>2024</v>
      </c>
    </row>
    <row r="41" customHeight="1" spans="1:33">
      <c r="A41" s="51" t="s">
        <v>155</v>
      </c>
      <c r="B41" s="52">
        <v>45443</v>
      </c>
      <c r="C41" s="51" t="s">
        <v>156</v>
      </c>
      <c r="D41" s="51" t="s">
        <v>157</v>
      </c>
      <c r="E41" s="51" t="s">
        <v>126</v>
      </c>
      <c r="F41" s="51" t="s">
        <v>19</v>
      </c>
      <c r="G41" s="51" t="s">
        <v>8</v>
      </c>
      <c r="H41" s="51">
        <v>1</v>
      </c>
      <c r="I41" s="51">
        <v>79.99</v>
      </c>
      <c r="J41" s="51" t="s">
        <v>45</v>
      </c>
      <c r="K41" s="51" t="s">
        <v>11</v>
      </c>
      <c r="L41" s="51" t="s">
        <v>57</v>
      </c>
      <c r="M41" s="53">
        <v>44917</v>
      </c>
      <c r="N41" s="51">
        <v>79.99</v>
      </c>
      <c r="O41" s="51">
        <f>MONTH(Table1[[#This Row],[Date]])</f>
        <v>5</v>
      </c>
      <c r="P41" s="51">
        <f>YEAR(Table1[[#This Row],[Date]])</f>
        <v>2024</v>
      </c>
      <c r="R41" s="51" t="str">
        <v>TRX0190</v>
      </c>
      <c r="S41" s="52">
        <v>45583</v>
      </c>
      <c r="T41" s="52" t="str">
        <v>CUST039</v>
      </c>
      <c r="U41" s="51" t="str">
        <v>Lawrence Reed</v>
      </c>
      <c r="V41" s="51" t="str">
        <v>P003</v>
      </c>
      <c r="W41" s="51" t="str">
        <v>Headphones</v>
      </c>
      <c r="X41" s="10" t="str">
        <v>Electronics</v>
      </c>
      <c r="Y41" s="10">
        <v>2</v>
      </c>
      <c r="Z41" s="10">
        <v>149.99</v>
      </c>
      <c r="AA41" s="10" t="str">
        <v>Credit Card</v>
      </c>
      <c r="AB41" s="10" t="str">
        <v>West</v>
      </c>
      <c r="AC41" s="10" t="str">
        <v>Basic</v>
      </c>
      <c r="AD41" s="57">
        <v>44916</v>
      </c>
      <c r="AE41" s="10">
        <v>299.98</v>
      </c>
      <c r="AF41" s="10">
        <v>10</v>
      </c>
      <c r="AG41" s="10">
        <v>2024</v>
      </c>
    </row>
    <row r="42" customHeight="1" spans="1:33">
      <c r="A42" s="51" t="s">
        <v>158</v>
      </c>
      <c r="B42" s="52">
        <v>45444</v>
      </c>
      <c r="C42" s="51" t="s">
        <v>159</v>
      </c>
      <c r="D42" s="51" t="s">
        <v>160</v>
      </c>
      <c r="E42" s="51" t="s">
        <v>55</v>
      </c>
      <c r="F42" s="51" t="s">
        <v>17</v>
      </c>
      <c r="G42" s="51" t="s">
        <v>8</v>
      </c>
      <c r="H42" s="51">
        <v>2</v>
      </c>
      <c r="I42" s="51">
        <v>59.99</v>
      </c>
      <c r="J42" s="51" t="s">
        <v>45</v>
      </c>
      <c r="K42" s="51" t="s">
        <v>15</v>
      </c>
      <c r="L42" s="51" t="s">
        <v>46</v>
      </c>
      <c r="M42" s="53">
        <v>45390</v>
      </c>
      <c r="N42" s="51">
        <v>119.98</v>
      </c>
      <c r="O42" s="51">
        <f>MONTH(Table1[[#This Row],[Date]])</f>
        <v>6</v>
      </c>
      <c r="P42" s="51">
        <f>YEAR(Table1[[#This Row],[Date]])</f>
        <v>2024</v>
      </c>
      <c r="R42" s="51" t="str">
        <v>TRX0079</v>
      </c>
      <c r="S42" s="52">
        <v>45586</v>
      </c>
      <c r="T42" s="52" t="str">
        <v>CUST039</v>
      </c>
      <c r="U42" s="51" t="str">
        <v>Lawrence Reed</v>
      </c>
      <c r="V42" s="51" t="str">
        <v>P010</v>
      </c>
      <c r="W42" s="51" t="str">
        <v>Keyboard</v>
      </c>
      <c r="X42" s="10" t="str">
        <v>Electronics</v>
      </c>
      <c r="Y42" s="10">
        <v>3</v>
      </c>
      <c r="Z42" s="10">
        <v>89.99</v>
      </c>
      <c r="AA42" s="10" t="str">
        <v>PayPal</v>
      </c>
      <c r="AB42" s="10" t="str">
        <v>Central</v>
      </c>
      <c r="AC42" s="10" t="str">
        <v>Basic</v>
      </c>
      <c r="AD42" s="57">
        <v>44551</v>
      </c>
      <c r="AE42" s="10">
        <v>269.97</v>
      </c>
      <c r="AF42" s="10">
        <v>10</v>
      </c>
      <c r="AG42" s="10">
        <v>2024</v>
      </c>
    </row>
    <row r="43" customHeight="1" spans="1:33">
      <c r="A43" s="51" t="s">
        <v>161</v>
      </c>
      <c r="B43" s="52">
        <v>45444</v>
      </c>
      <c r="C43" s="51" t="s">
        <v>71</v>
      </c>
      <c r="D43" s="51" t="s">
        <v>72</v>
      </c>
      <c r="E43" s="51" t="s">
        <v>128</v>
      </c>
      <c r="F43" s="51" t="s">
        <v>22</v>
      </c>
      <c r="G43" s="51" t="s">
        <v>10</v>
      </c>
      <c r="H43" s="51">
        <v>1</v>
      </c>
      <c r="I43" s="51">
        <v>89.99</v>
      </c>
      <c r="J43" s="51" t="s">
        <v>45</v>
      </c>
      <c r="K43" s="51" t="s">
        <v>11</v>
      </c>
      <c r="L43" s="51" t="s">
        <v>46</v>
      </c>
      <c r="M43" s="53">
        <v>45141</v>
      </c>
      <c r="N43" s="51">
        <v>89.99</v>
      </c>
      <c r="O43" s="51">
        <f>MONTH(Table1[[#This Row],[Date]])</f>
        <v>6</v>
      </c>
      <c r="P43" s="51">
        <f>YEAR(Table1[[#This Row],[Date]])</f>
        <v>2024</v>
      </c>
      <c r="R43" s="51" t="str">
        <v>TRX0095</v>
      </c>
      <c r="S43" s="52">
        <v>45588</v>
      </c>
      <c r="T43" s="52" t="str">
        <v>CUST046</v>
      </c>
      <c r="U43" s="51" t="str">
        <v>Kathleen Bennett</v>
      </c>
      <c r="V43" s="51" t="str">
        <v>P003</v>
      </c>
      <c r="W43" s="51" t="str">
        <v>Headphones</v>
      </c>
      <c r="X43" s="10" t="str">
        <v>Electronics</v>
      </c>
      <c r="Y43" s="10">
        <v>2</v>
      </c>
      <c r="Z43" s="10">
        <v>149.99</v>
      </c>
      <c r="AA43" s="10" t="str">
        <v>PayPal</v>
      </c>
      <c r="AB43" s="10" t="str">
        <v>Central</v>
      </c>
      <c r="AC43" s="10" t="str">
        <v>Basic</v>
      </c>
      <c r="AD43" s="57">
        <v>44473</v>
      </c>
      <c r="AE43" s="10">
        <v>299.98</v>
      </c>
      <c r="AF43" s="10">
        <v>10</v>
      </c>
      <c r="AG43" s="10">
        <v>2024</v>
      </c>
    </row>
    <row r="44" customHeight="1" spans="1:33">
      <c r="A44" s="51" t="s">
        <v>162</v>
      </c>
      <c r="B44" s="52">
        <v>45446</v>
      </c>
      <c r="C44" s="51" t="s">
        <v>163</v>
      </c>
      <c r="D44" s="51" t="s">
        <v>164</v>
      </c>
      <c r="E44" s="51" t="s">
        <v>128</v>
      </c>
      <c r="F44" s="51" t="s">
        <v>22</v>
      </c>
      <c r="G44" s="51" t="s">
        <v>10</v>
      </c>
      <c r="H44" s="51">
        <v>5</v>
      </c>
      <c r="I44" s="51">
        <v>89.99</v>
      </c>
      <c r="J44" s="51" t="s">
        <v>50</v>
      </c>
      <c r="K44" s="51" t="s">
        <v>9</v>
      </c>
      <c r="L44" s="51" t="s">
        <v>57</v>
      </c>
      <c r="M44" s="53">
        <v>44587</v>
      </c>
      <c r="N44" s="51">
        <v>449.95</v>
      </c>
      <c r="O44" s="51">
        <f>MONTH(Table1[[#This Row],[Date]])</f>
        <v>6</v>
      </c>
      <c r="P44" s="51">
        <f>YEAR(Table1[[#This Row],[Date]])</f>
        <v>2024</v>
      </c>
      <c r="R44" s="51" t="str">
        <v>TRX0009</v>
      </c>
      <c r="S44" s="52">
        <v>45588</v>
      </c>
      <c r="T44" s="52" t="str">
        <v>CUST004</v>
      </c>
      <c r="U44" s="51" t="str">
        <v>Sarah Davis</v>
      </c>
      <c r="V44" s="51" t="str">
        <v>P002</v>
      </c>
      <c r="W44" s="51" t="str">
        <v>Smartphone</v>
      </c>
      <c r="X44" s="10" t="str">
        <v>Electronics</v>
      </c>
      <c r="Y44" s="10">
        <v>2</v>
      </c>
      <c r="Z44" s="10">
        <v>699.99</v>
      </c>
      <c r="AA44" s="10" t="str">
        <v>Cash</v>
      </c>
      <c r="AB44" s="10" t="str">
        <v>Central</v>
      </c>
      <c r="AC44" s="10" t="str">
        <v>Basic</v>
      </c>
      <c r="AD44" s="57">
        <v>44992</v>
      </c>
      <c r="AE44" s="10">
        <v>1399.98</v>
      </c>
      <c r="AF44" s="10">
        <v>10</v>
      </c>
      <c r="AG44" s="10">
        <v>2024</v>
      </c>
    </row>
    <row r="45" customHeight="1" spans="1:33">
      <c r="A45" s="51" t="s">
        <v>165</v>
      </c>
      <c r="B45" s="52">
        <v>45449</v>
      </c>
      <c r="C45" s="51" t="s">
        <v>48</v>
      </c>
      <c r="D45" s="51" t="s">
        <v>49</v>
      </c>
      <c r="E45" s="51" t="s">
        <v>44</v>
      </c>
      <c r="F45" s="51" t="s">
        <v>24</v>
      </c>
      <c r="G45" s="51" t="s">
        <v>10</v>
      </c>
      <c r="H45" s="51">
        <v>5</v>
      </c>
      <c r="I45" s="51">
        <v>249.99</v>
      </c>
      <c r="J45" s="51" t="s">
        <v>50</v>
      </c>
      <c r="K45" s="51" t="s">
        <v>9</v>
      </c>
      <c r="L45" s="51" t="s">
        <v>57</v>
      </c>
      <c r="M45" s="53">
        <v>44707</v>
      </c>
      <c r="N45" s="51">
        <v>1249.95</v>
      </c>
      <c r="O45" s="51">
        <f>MONTH(Table1[[#This Row],[Date]])</f>
        <v>6</v>
      </c>
      <c r="P45" s="51">
        <f>YEAR(Table1[[#This Row],[Date]])</f>
        <v>2024</v>
      </c>
      <c r="R45" s="51" t="str">
        <v>TRX0035</v>
      </c>
      <c r="S45" s="52">
        <v>45607</v>
      </c>
      <c r="T45" s="52" t="str">
        <v>CUST041</v>
      </c>
      <c r="U45" s="51" t="str">
        <v>Peter Richardson</v>
      </c>
      <c r="V45" s="51" t="str">
        <v>P003</v>
      </c>
      <c r="W45" s="51" t="str">
        <v>Headphones</v>
      </c>
      <c r="X45" s="10" t="str">
        <v>Electronics</v>
      </c>
      <c r="Y45" s="10">
        <v>3</v>
      </c>
      <c r="Z45" s="10">
        <v>149.99</v>
      </c>
      <c r="AA45" s="10" t="str">
        <v>Cash</v>
      </c>
      <c r="AB45" s="10" t="str">
        <v>North</v>
      </c>
      <c r="AC45" s="10" t="str">
        <v>Basic</v>
      </c>
      <c r="AD45" s="57">
        <v>44769</v>
      </c>
      <c r="AE45" s="10">
        <v>449.97</v>
      </c>
      <c r="AF45" s="10">
        <v>11</v>
      </c>
      <c r="AG45" s="10">
        <v>2024</v>
      </c>
    </row>
    <row r="46" customHeight="1" spans="1:33">
      <c r="A46" s="51" t="s">
        <v>166</v>
      </c>
      <c r="B46" s="52">
        <v>45449</v>
      </c>
      <c r="C46" s="51" t="s">
        <v>167</v>
      </c>
      <c r="D46" s="51" t="s">
        <v>168</v>
      </c>
      <c r="E46" s="51" t="s">
        <v>128</v>
      </c>
      <c r="F46" s="51" t="s">
        <v>22</v>
      </c>
      <c r="G46" s="51" t="s">
        <v>10</v>
      </c>
      <c r="H46" s="51">
        <v>1</v>
      </c>
      <c r="I46" s="51">
        <v>89.99</v>
      </c>
      <c r="J46" s="51" t="s">
        <v>50</v>
      </c>
      <c r="K46" s="51" t="s">
        <v>13</v>
      </c>
      <c r="L46" s="51" t="s">
        <v>57</v>
      </c>
      <c r="M46" s="53">
        <v>44582</v>
      </c>
      <c r="N46" s="51">
        <v>89.99</v>
      </c>
      <c r="O46" s="51">
        <f>MONTH(Table1[[#This Row],[Date]])</f>
        <v>6</v>
      </c>
      <c r="P46" s="51">
        <f>YEAR(Table1[[#This Row],[Date]])</f>
        <v>2024</v>
      </c>
      <c r="R46" s="51" t="str">
        <v>TRX0210</v>
      </c>
      <c r="S46" s="52">
        <v>45608</v>
      </c>
      <c r="T46" s="52" t="str">
        <v>CUST004</v>
      </c>
      <c r="U46" s="51" t="str">
        <v>Sarah Davis</v>
      </c>
      <c r="V46" s="51" t="str">
        <v>P008</v>
      </c>
      <c r="W46" s="51" t="str">
        <v>Bookshelf</v>
      </c>
      <c r="X46" s="10" t="str">
        <v>Furniture</v>
      </c>
      <c r="Y46" s="10">
        <v>5</v>
      </c>
      <c r="Z46" s="10">
        <v>149.99</v>
      </c>
      <c r="AA46" s="10" t="str">
        <v>PayPal</v>
      </c>
      <c r="AB46" s="10" t="str">
        <v>Central</v>
      </c>
      <c r="AC46" s="10" t="str">
        <v>Basic</v>
      </c>
      <c r="AD46" s="57">
        <v>44901</v>
      </c>
      <c r="AE46" s="10">
        <v>749.95</v>
      </c>
      <c r="AF46" s="10">
        <v>11</v>
      </c>
      <c r="AG46" s="10">
        <v>2024</v>
      </c>
    </row>
    <row r="47" customHeight="1" spans="1:33">
      <c r="A47" s="51" t="s">
        <v>169</v>
      </c>
      <c r="B47" s="52">
        <v>45450</v>
      </c>
      <c r="C47" s="51" t="s">
        <v>62</v>
      </c>
      <c r="D47" s="51" t="s">
        <v>63</v>
      </c>
      <c r="E47" s="51" t="s">
        <v>64</v>
      </c>
      <c r="F47" s="51" t="s">
        <v>18</v>
      </c>
      <c r="G47" s="51" t="s">
        <v>12</v>
      </c>
      <c r="H47" s="51">
        <v>2</v>
      </c>
      <c r="I47" s="51">
        <v>149.99</v>
      </c>
      <c r="J47" s="51" t="s">
        <v>45</v>
      </c>
      <c r="K47" s="51" t="s">
        <v>9</v>
      </c>
      <c r="L47" s="51" t="s">
        <v>51</v>
      </c>
      <c r="M47" s="53">
        <v>44645</v>
      </c>
      <c r="N47" s="51">
        <v>299.98</v>
      </c>
      <c r="O47" s="51">
        <f>MONTH(Table1[[#This Row],[Date]])</f>
        <v>6</v>
      </c>
      <c r="P47" s="51">
        <f>YEAR(Table1[[#This Row],[Date]])</f>
        <v>2024</v>
      </c>
      <c r="R47" s="51" t="str">
        <v>TRX0073</v>
      </c>
      <c r="S47" s="52">
        <v>45613</v>
      </c>
      <c r="T47" s="52" t="str">
        <v>CUST032</v>
      </c>
      <c r="U47" s="51" t="str">
        <v>Sandra Phillips</v>
      </c>
      <c r="V47" s="51" t="str">
        <v>P008</v>
      </c>
      <c r="W47" s="51" t="str">
        <v>Bookshelf</v>
      </c>
      <c r="X47" s="10" t="str">
        <v>Furniture</v>
      </c>
      <c r="Y47" s="10">
        <v>5</v>
      </c>
      <c r="Z47" s="10">
        <v>149.99</v>
      </c>
      <c r="AA47" s="10" t="str">
        <v>Cash</v>
      </c>
      <c r="AB47" s="10" t="str">
        <v>North</v>
      </c>
      <c r="AC47" s="10" t="str">
        <v>Basic</v>
      </c>
      <c r="AD47" s="57">
        <v>44869</v>
      </c>
      <c r="AE47" s="10">
        <v>749.95</v>
      </c>
      <c r="AF47" s="10">
        <v>11</v>
      </c>
      <c r="AG47" s="10">
        <v>2024</v>
      </c>
    </row>
    <row r="48" customHeight="1" spans="1:33">
      <c r="A48" s="51" t="s">
        <v>170</v>
      </c>
      <c r="B48" s="52">
        <v>45452</v>
      </c>
      <c r="C48" s="51" t="s">
        <v>171</v>
      </c>
      <c r="D48" s="51" t="s">
        <v>172</v>
      </c>
      <c r="E48" s="51" t="s">
        <v>55</v>
      </c>
      <c r="F48" s="51" t="s">
        <v>17</v>
      </c>
      <c r="G48" s="51" t="s">
        <v>8</v>
      </c>
      <c r="H48" s="51">
        <v>4</v>
      </c>
      <c r="I48" s="51">
        <v>59.99</v>
      </c>
      <c r="J48" s="51" t="s">
        <v>45</v>
      </c>
      <c r="K48" s="51" t="s">
        <v>9</v>
      </c>
      <c r="L48" s="51" t="s">
        <v>57</v>
      </c>
      <c r="M48" s="53">
        <v>44435</v>
      </c>
      <c r="N48" s="51">
        <v>239.96</v>
      </c>
      <c r="O48" s="51">
        <f>MONTH(Table1[[#This Row],[Date]])</f>
        <v>6</v>
      </c>
      <c r="P48" s="51">
        <f>YEAR(Table1[[#This Row],[Date]])</f>
        <v>2024</v>
      </c>
      <c r="R48" s="51" t="str">
        <v>TRX0012</v>
      </c>
      <c r="S48" s="52">
        <v>45622</v>
      </c>
      <c r="T48" s="52" t="str">
        <v>CUST045</v>
      </c>
      <c r="U48" s="51" t="str">
        <v>Douglas Watson</v>
      </c>
      <c r="V48" s="51" t="str">
        <v>P009</v>
      </c>
      <c r="W48" s="51" t="str">
        <v>Monitor</v>
      </c>
      <c r="X48" s="10" t="str">
        <v>Electronics</v>
      </c>
      <c r="Y48" s="10">
        <v>5</v>
      </c>
      <c r="Z48" s="10">
        <v>249.99</v>
      </c>
      <c r="AA48" s="10" t="str">
        <v>Credit Card</v>
      </c>
      <c r="AB48" s="10" t="str">
        <v>North</v>
      </c>
      <c r="AC48" s="10" t="str">
        <v>Basic</v>
      </c>
      <c r="AD48" s="57">
        <v>44873</v>
      </c>
      <c r="AE48" s="10">
        <v>1249.95</v>
      </c>
      <c r="AF48" s="10">
        <v>11</v>
      </c>
      <c r="AG48" s="10">
        <v>2024</v>
      </c>
    </row>
    <row r="49" customHeight="1" spans="1:33">
      <c r="A49" s="51" t="s">
        <v>173</v>
      </c>
      <c r="B49" s="52">
        <v>45456</v>
      </c>
      <c r="C49" s="51" t="s">
        <v>138</v>
      </c>
      <c r="D49" s="51" t="s">
        <v>139</v>
      </c>
      <c r="E49" s="51" t="s">
        <v>128</v>
      </c>
      <c r="F49" s="51" t="s">
        <v>22</v>
      </c>
      <c r="G49" s="51" t="s">
        <v>10</v>
      </c>
      <c r="H49" s="51">
        <v>5</v>
      </c>
      <c r="I49" s="51">
        <v>89.99</v>
      </c>
      <c r="J49" s="51" t="s">
        <v>45</v>
      </c>
      <c r="K49" s="51" t="s">
        <v>7</v>
      </c>
      <c r="L49" s="51" t="s">
        <v>51</v>
      </c>
      <c r="M49" s="53">
        <v>44579</v>
      </c>
      <c r="N49" s="51">
        <v>449.95</v>
      </c>
      <c r="O49" s="51">
        <f>MONTH(Table1[[#This Row],[Date]])</f>
        <v>6</v>
      </c>
      <c r="P49" s="51">
        <f>YEAR(Table1[[#This Row],[Date]])</f>
        <v>2024</v>
      </c>
      <c r="R49" s="51" t="str">
        <v>TRX0032</v>
      </c>
      <c r="S49" s="52">
        <v>45638</v>
      </c>
      <c r="T49" s="52" t="str">
        <v>CUST041</v>
      </c>
      <c r="U49" s="51" t="str">
        <v>Peter Richardson</v>
      </c>
      <c r="V49" s="51" t="str">
        <v>P001</v>
      </c>
      <c r="W49" s="51" t="str">
        <v>Laptop</v>
      </c>
      <c r="X49" s="10" t="str">
        <v>Electronics</v>
      </c>
      <c r="Y49" s="10">
        <v>2</v>
      </c>
      <c r="Z49" s="10">
        <v>899.99</v>
      </c>
      <c r="AA49" s="10" t="str">
        <v>Cash</v>
      </c>
      <c r="AB49" s="10" t="str">
        <v>North</v>
      </c>
      <c r="AC49" s="10" t="str">
        <v>Basic</v>
      </c>
      <c r="AD49" s="57">
        <v>44406</v>
      </c>
      <c r="AE49" s="10">
        <v>1799.98</v>
      </c>
      <c r="AF49" s="10">
        <v>12</v>
      </c>
      <c r="AG49" s="10">
        <v>2024</v>
      </c>
    </row>
    <row r="50" customHeight="1" spans="1:33">
      <c r="A50" s="51" t="s">
        <v>174</v>
      </c>
      <c r="B50" s="52">
        <v>45459</v>
      </c>
      <c r="C50" s="51" t="s">
        <v>112</v>
      </c>
      <c r="D50" s="51" t="s">
        <v>113</v>
      </c>
      <c r="E50" s="51" t="s">
        <v>128</v>
      </c>
      <c r="F50" s="51" t="s">
        <v>22</v>
      </c>
      <c r="G50" s="51" t="s">
        <v>10</v>
      </c>
      <c r="H50" s="51">
        <v>2</v>
      </c>
      <c r="I50" s="51">
        <v>89.99</v>
      </c>
      <c r="J50" s="51" t="s">
        <v>50</v>
      </c>
      <c r="K50" s="51" t="s">
        <v>13</v>
      </c>
      <c r="L50" s="51" t="s">
        <v>51</v>
      </c>
      <c r="M50" s="53">
        <v>44471</v>
      </c>
      <c r="N50" s="51">
        <v>179.98</v>
      </c>
      <c r="O50" s="51">
        <f>MONTH(Table1[[#This Row],[Date]])</f>
        <v>6</v>
      </c>
      <c r="P50" s="51">
        <f>YEAR(Table1[[#This Row],[Date]])</f>
        <v>2024</v>
      </c>
      <c r="R50" s="51" t="str">
        <v>TRX0028</v>
      </c>
      <c r="S50" s="52">
        <v>45644</v>
      </c>
      <c r="T50" s="52" t="str">
        <v>CUST002</v>
      </c>
      <c r="U50" s="51" t="str">
        <v>Emma Wilson</v>
      </c>
      <c r="V50" s="51" t="str">
        <v>P005</v>
      </c>
      <c r="W50" s="51" t="str">
        <v>Blender</v>
      </c>
      <c r="X50" s="10" t="str">
        <v>Appliances</v>
      </c>
      <c r="Y50" s="10">
        <v>2</v>
      </c>
      <c r="Z50" s="10">
        <v>59.99</v>
      </c>
      <c r="AA50" s="10" t="str">
        <v>Cash</v>
      </c>
      <c r="AB50" s="10" t="str">
        <v>West</v>
      </c>
      <c r="AC50" s="10" t="str">
        <v>Basic</v>
      </c>
      <c r="AD50" s="57">
        <v>45191</v>
      </c>
      <c r="AE50" s="10">
        <v>119.98</v>
      </c>
      <c r="AF50" s="10">
        <v>12</v>
      </c>
      <c r="AG50" s="10">
        <v>2024</v>
      </c>
    </row>
    <row r="51" customHeight="1" spans="1:33">
      <c r="A51" s="51" t="s">
        <v>175</v>
      </c>
      <c r="B51" s="52">
        <v>45459</v>
      </c>
      <c r="C51" s="51" t="s">
        <v>42</v>
      </c>
      <c r="D51" s="51" t="s">
        <v>43</v>
      </c>
      <c r="E51" s="51" t="s">
        <v>77</v>
      </c>
      <c r="F51" s="51" t="s">
        <v>23</v>
      </c>
      <c r="G51" s="51" t="s">
        <v>10</v>
      </c>
      <c r="H51" s="51">
        <v>5</v>
      </c>
      <c r="I51" s="51">
        <v>899.99</v>
      </c>
      <c r="J51" s="51" t="s">
        <v>50</v>
      </c>
      <c r="K51" s="51" t="s">
        <v>13</v>
      </c>
      <c r="L51" s="51" t="s">
        <v>57</v>
      </c>
      <c r="M51" s="53">
        <v>44974</v>
      </c>
      <c r="N51" s="51">
        <v>4499.95</v>
      </c>
      <c r="O51" s="51">
        <f>MONTH(Table1[[#This Row],[Date]])</f>
        <v>6</v>
      </c>
      <c r="P51" s="51">
        <f>YEAR(Table1[[#This Row],[Date]])</f>
        <v>2024</v>
      </c>
      <c r="R51" s="51" t="str">
        <v>TRX0046</v>
      </c>
      <c r="S51" s="52">
        <v>45646</v>
      </c>
      <c r="T51" s="52" t="str">
        <v>CUST003</v>
      </c>
      <c r="U51" s="51" t="str">
        <v>Michael Brown</v>
      </c>
      <c r="V51" s="51" t="str">
        <v>P008</v>
      </c>
      <c r="W51" s="51" t="str">
        <v>Bookshelf</v>
      </c>
      <c r="X51" s="10" t="str">
        <v>Furniture</v>
      </c>
      <c r="Y51" s="10">
        <v>2</v>
      </c>
      <c r="Z51" s="10">
        <v>149.99</v>
      </c>
      <c r="AA51" s="10" t="str">
        <v>Cash</v>
      </c>
      <c r="AB51" s="10" t="str">
        <v>South</v>
      </c>
      <c r="AC51" s="10" t="str">
        <v>Basic</v>
      </c>
      <c r="AD51" s="57">
        <v>45239</v>
      </c>
      <c r="AE51" s="10">
        <v>299.98</v>
      </c>
      <c r="AF51" s="10">
        <v>12</v>
      </c>
      <c r="AG51" s="10">
        <v>2024</v>
      </c>
    </row>
    <row r="52" customHeight="1" spans="1:33">
      <c r="A52" s="51" t="s">
        <v>176</v>
      </c>
      <c r="B52" s="52">
        <v>45459</v>
      </c>
      <c r="C52" s="51" t="s">
        <v>133</v>
      </c>
      <c r="D52" s="51" t="s">
        <v>134</v>
      </c>
      <c r="E52" s="51" t="s">
        <v>77</v>
      </c>
      <c r="F52" s="51" t="s">
        <v>23</v>
      </c>
      <c r="G52" s="51" t="s">
        <v>10</v>
      </c>
      <c r="H52" s="51">
        <v>5</v>
      </c>
      <c r="I52" s="51">
        <v>899.99</v>
      </c>
      <c r="J52" s="51" t="s">
        <v>56</v>
      </c>
      <c r="K52" s="51" t="s">
        <v>9</v>
      </c>
      <c r="L52" s="51" t="s">
        <v>51</v>
      </c>
      <c r="M52" s="53">
        <v>45278</v>
      </c>
      <c r="N52" s="51">
        <v>4499.95</v>
      </c>
      <c r="O52" s="51">
        <f>MONTH(Table1[[#This Row],[Date]])</f>
        <v>6</v>
      </c>
      <c r="P52" s="51">
        <f>YEAR(Table1[[#This Row],[Date]])</f>
        <v>2024</v>
      </c>
      <c r="R52" s="51" t="str">
        <v>TRX0171</v>
      </c>
      <c r="S52" s="52">
        <v>45649</v>
      </c>
      <c r="T52" s="52" t="str">
        <v>CUST021</v>
      </c>
      <c r="U52" s="51" t="str">
        <v>Kevin Scott</v>
      </c>
      <c r="V52" s="51" t="str">
        <v>P007</v>
      </c>
      <c r="W52" s="51" t="str">
        <v>Desk</v>
      </c>
      <c r="X52" s="10" t="str">
        <v>Furniture</v>
      </c>
      <c r="Y52" s="10">
        <v>2</v>
      </c>
      <c r="Z52" s="10">
        <v>299.99</v>
      </c>
      <c r="AA52" s="10" t="str">
        <v>PayPal</v>
      </c>
      <c r="AB52" s="10" t="str">
        <v>South</v>
      </c>
      <c r="AC52" s="10" t="str">
        <v>Basic</v>
      </c>
      <c r="AD52" s="57">
        <v>44721</v>
      </c>
      <c r="AE52" s="10">
        <v>599.98</v>
      </c>
      <c r="AF52" s="10">
        <v>12</v>
      </c>
      <c r="AG52" s="10">
        <v>2024</v>
      </c>
    </row>
    <row r="53" customHeight="1" spans="1:33">
      <c r="A53" s="51" t="s">
        <v>177</v>
      </c>
      <c r="B53" s="52">
        <v>45460</v>
      </c>
      <c r="C53" s="51" t="s">
        <v>167</v>
      </c>
      <c r="D53" s="51" t="s">
        <v>168</v>
      </c>
      <c r="E53" s="51" t="s">
        <v>55</v>
      </c>
      <c r="F53" s="51" t="s">
        <v>17</v>
      </c>
      <c r="G53" s="51" t="s">
        <v>8</v>
      </c>
      <c r="H53" s="51">
        <v>1</v>
      </c>
      <c r="I53" s="51">
        <v>59.99</v>
      </c>
      <c r="J53" s="51" t="s">
        <v>73</v>
      </c>
      <c r="K53" s="51" t="s">
        <v>15</v>
      </c>
      <c r="L53" s="51" t="s">
        <v>51</v>
      </c>
      <c r="M53" s="53">
        <v>45190</v>
      </c>
      <c r="N53" s="51">
        <v>59.99</v>
      </c>
      <c r="O53" s="51">
        <f>MONTH(Table1[[#This Row],[Date]])</f>
        <v>6</v>
      </c>
      <c r="P53" s="51">
        <f>YEAR(Table1[[#This Row],[Date]])</f>
        <v>2024</v>
      </c>
      <c r="R53" s="51" t="str">
        <v>TRX0143</v>
      </c>
      <c r="S53" s="52">
        <v>45654</v>
      </c>
      <c r="T53" s="52" t="str">
        <v>CUST003</v>
      </c>
      <c r="U53" s="51" t="str">
        <v>Michael Brown</v>
      </c>
      <c r="V53" s="51" t="str">
        <v>P007</v>
      </c>
      <c r="W53" s="51" t="str">
        <v>Desk</v>
      </c>
      <c r="X53" s="10" t="str">
        <v>Furniture</v>
      </c>
      <c r="Y53" s="10">
        <v>2</v>
      </c>
      <c r="Z53" s="10">
        <v>299.99</v>
      </c>
      <c r="AA53" s="10" t="str">
        <v>Cash</v>
      </c>
      <c r="AB53" s="10" t="str">
        <v>West</v>
      </c>
      <c r="AC53" s="10" t="str">
        <v>Basic</v>
      </c>
      <c r="AD53" s="57">
        <v>44771</v>
      </c>
      <c r="AE53" s="10">
        <v>599.98</v>
      </c>
      <c r="AF53" s="10">
        <v>12</v>
      </c>
      <c r="AG53" s="10">
        <v>2024</v>
      </c>
    </row>
    <row r="54" customHeight="1" spans="1:33">
      <c r="A54" s="51" t="s">
        <v>178</v>
      </c>
      <c r="B54" s="52">
        <v>45460</v>
      </c>
      <c r="C54" s="51" t="s">
        <v>150</v>
      </c>
      <c r="D54" s="51" t="s">
        <v>151</v>
      </c>
      <c r="E54" s="51" t="s">
        <v>118</v>
      </c>
      <c r="F54" s="51" t="s">
        <v>20</v>
      </c>
      <c r="G54" s="51" t="s">
        <v>12</v>
      </c>
      <c r="H54" s="51">
        <v>2</v>
      </c>
      <c r="I54" s="51">
        <v>299.99</v>
      </c>
      <c r="J54" s="51" t="s">
        <v>73</v>
      </c>
      <c r="K54" s="51" t="s">
        <v>9</v>
      </c>
      <c r="L54" s="51" t="s">
        <v>57</v>
      </c>
      <c r="M54" s="53">
        <v>45253</v>
      </c>
      <c r="N54" s="51">
        <v>599.98</v>
      </c>
      <c r="O54" s="51">
        <f>MONTH(Table1[[#This Row],[Date]])</f>
        <v>6</v>
      </c>
      <c r="P54" s="51">
        <f>YEAR(Table1[[#This Row],[Date]])</f>
        <v>2024</v>
      </c>
      <c r="R54" s="51" t="str">
        <v>TRX0165</v>
      </c>
      <c r="S54" s="52">
        <v>45654</v>
      </c>
      <c r="T54" s="52" t="str">
        <v>CUST030</v>
      </c>
      <c r="U54" s="51" t="str">
        <v>Helen Roberts</v>
      </c>
      <c r="V54" s="51" t="str">
        <v>P006</v>
      </c>
      <c r="W54" s="51" t="str">
        <v>Office Chair</v>
      </c>
      <c r="X54" s="10" t="str">
        <v>Furniture</v>
      </c>
      <c r="Y54" s="10">
        <v>4</v>
      </c>
      <c r="Z54" s="10">
        <v>199.99</v>
      </c>
      <c r="AA54" s="10" t="str">
        <v>Credit Card</v>
      </c>
      <c r="AB54" s="10" t="str">
        <v>Central</v>
      </c>
      <c r="AC54" s="10" t="str">
        <v>Basic</v>
      </c>
      <c r="AD54" s="57">
        <v>44523</v>
      </c>
      <c r="AE54" s="10">
        <v>799.96</v>
      </c>
      <c r="AF54" s="10">
        <v>12</v>
      </c>
      <c r="AG54" s="10">
        <v>2024</v>
      </c>
    </row>
    <row r="55" customHeight="1" spans="1:33">
      <c r="A55" s="51" t="s">
        <v>179</v>
      </c>
      <c r="B55" s="52">
        <v>45468</v>
      </c>
      <c r="C55" s="51" t="s">
        <v>180</v>
      </c>
      <c r="D55" s="51" t="s">
        <v>181</v>
      </c>
      <c r="E55" s="51" t="s">
        <v>128</v>
      </c>
      <c r="F55" s="51" t="s">
        <v>22</v>
      </c>
      <c r="G55" s="51" t="s">
        <v>10</v>
      </c>
      <c r="H55" s="51">
        <v>4</v>
      </c>
      <c r="I55" s="51">
        <v>89.99</v>
      </c>
      <c r="J55" s="51" t="s">
        <v>73</v>
      </c>
      <c r="K55" s="51" t="s">
        <v>13</v>
      </c>
      <c r="L55" s="51" t="s">
        <v>46</v>
      </c>
      <c r="M55" s="53">
        <v>45281</v>
      </c>
      <c r="N55" s="51">
        <v>359.96</v>
      </c>
      <c r="O55" s="51">
        <f>MONTH(Table1[[#This Row],[Date]])</f>
        <v>6</v>
      </c>
      <c r="P55" s="51">
        <f>YEAR(Table1[[#This Row],[Date]])</f>
        <v>2024</v>
      </c>
      <c r="R55" s="51" t="str">
        <v>TRX0243</v>
      </c>
      <c r="S55" s="52">
        <v>45667</v>
      </c>
      <c r="T55" s="52" t="str">
        <v>CUST048</v>
      </c>
      <c r="U55" s="51" t="str">
        <v>Virginia Sanders</v>
      </c>
      <c r="V55" s="51" t="str">
        <v>P009</v>
      </c>
      <c r="W55" s="51" t="str">
        <v>Monitor</v>
      </c>
      <c r="X55" s="10" t="str">
        <v>Electronics</v>
      </c>
      <c r="Y55" s="10">
        <v>5</v>
      </c>
      <c r="Z55" s="10">
        <v>249.99</v>
      </c>
      <c r="AA55" s="10" t="str">
        <v>Credit Card</v>
      </c>
      <c r="AB55" s="10" t="str">
        <v>South</v>
      </c>
      <c r="AC55" s="10" t="str">
        <v>Basic</v>
      </c>
      <c r="AD55" s="57">
        <v>45330</v>
      </c>
      <c r="AE55" s="10">
        <v>1249.95</v>
      </c>
      <c r="AF55" s="10">
        <v>1</v>
      </c>
      <c r="AG55" s="10">
        <v>2025</v>
      </c>
    </row>
    <row r="56" customHeight="1" spans="1:33">
      <c r="A56" s="51" t="s">
        <v>182</v>
      </c>
      <c r="B56" s="52">
        <v>45469</v>
      </c>
      <c r="C56" s="51" t="s">
        <v>53</v>
      </c>
      <c r="D56" s="51" t="s">
        <v>54</v>
      </c>
      <c r="E56" s="51" t="s">
        <v>126</v>
      </c>
      <c r="F56" s="51" t="s">
        <v>19</v>
      </c>
      <c r="G56" s="51" t="s">
        <v>8</v>
      </c>
      <c r="H56" s="51">
        <v>1</v>
      </c>
      <c r="I56" s="51">
        <v>79.99</v>
      </c>
      <c r="J56" s="51" t="s">
        <v>56</v>
      </c>
      <c r="K56" s="51" t="s">
        <v>7</v>
      </c>
      <c r="L56" s="51" t="s">
        <v>51</v>
      </c>
      <c r="M56" s="53">
        <v>45352</v>
      </c>
      <c r="N56" s="51">
        <v>79.99</v>
      </c>
      <c r="O56" s="51">
        <f>MONTH(Table1[[#This Row],[Date]])</f>
        <v>6</v>
      </c>
      <c r="P56" s="51">
        <f>YEAR(Table1[[#This Row],[Date]])</f>
        <v>2024</v>
      </c>
      <c r="R56" s="51" t="str">
        <v>TRX0102</v>
      </c>
      <c r="S56" s="52">
        <v>45670</v>
      </c>
      <c r="T56" s="52" t="str">
        <v>CUST045</v>
      </c>
      <c r="U56" s="51" t="str">
        <v>Douglas Watson</v>
      </c>
      <c r="V56" s="51" t="str">
        <v>P004</v>
      </c>
      <c r="W56" s="51" t="str">
        <v>Coffee Maker</v>
      </c>
      <c r="X56" s="10" t="str">
        <v>Appliances</v>
      </c>
      <c r="Y56" s="10">
        <v>1</v>
      </c>
      <c r="Z56" s="10">
        <v>79.99</v>
      </c>
      <c r="AA56" s="10" t="str">
        <v>Credit Card</v>
      </c>
      <c r="AB56" s="10" t="str">
        <v>South</v>
      </c>
      <c r="AC56" s="10" t="str">
        <v>Basic</v>
      </c>
      <c r="AD56" s="57">
        <v>45322</v>
      </c>
      <c r="AE56" s="10">
        <v>79.99</v>
      </c>
      <c r="AF56" s="10">
        <v>1</v>
      </c>
      <c r="AG56" s="10">
        <v>2025</v>
      </c>
    </row>
    <row r="57" customHeight="1" spans="1:33">
      <c r="A57" s="51" t="s">
        <v>183</v>
      </c>
      <c r="B57" s="52">
        <v>45469</v>
      </c>
      <c r="C57" s="51" t="s">
        <v>75</v>
      </c>
      <c r="D57" s="51" t="s">
        <v>76</v>
      </c>
      <c r="E57" s="51" t="s">
        <v>128</v>
      </c>
      <c r="F57" s="51" t="s">
        <v>22</v>
      </c>
      <c r="G57" s="51" t="s">
        <v>10</v>
      </c>
      <c r="H57" s="51">
        <v>2</v>
      </c>
      <c r="I57" s="51">
        <v>89.99</v>
      </c>
      <c r="J57" s="51" t="s">
        <v>45</v>
      </c>
      <c r="K57" s="51" t="s">
        <v>15</v>
      </c>
      <c r="L57" s="51" t="s">
        <v>46</v>
      </c>
      <c r="M57" s="53">
        <v>44438</v>
      </c>
      <c r="N57" s="51">
        <v>179.98</v>
      </c>
      <c r="O57" s="51">
        <f>MONTH(Table1[[#This Row],[Date]])</f>
        <v>6</v>
      </c>
      <c r="P57" s="51">
        <f>YEAR(Table1[[#This Row],[Date]])</f>
        <v>2024</v>
      </c>
      <c r="R57" s="51" t="str">
        <v>TRX0022</v>
      </c>
      <c r="S57" s="52">
        <v>45670</v>
      </c>
      <c r="T57" s="52" t="str">
        <v>CUST025</v>
      </c>
      <c r="U57" s="51" t="str">
        <v>Mark Carter</v>
      </c>
      <c r="V57" s="51" t="str">
        <v>P007</v>
      </c>
      <c r="W57" s="51" t="str">
        <v>Desk</v>
      </c>
      <c r="X57" s="10" t="str">
        <v>Furniture</v>
      </c>
      <c r="Y57" s="10">
        <v>1</v>
      </c>
      <c r="Z57" s="10">
        <v>299.99</v>
      </c>
      <c r="AA57" s="10" t="str">
        <v>Credit Card</v>
      </c>
      <c r="AB57" s="10" t="str">
        <v>North</v>
      </c>
      <c r="AC57" s="10" t="str">
        <v>Basic</v>
      </c>
      <c r="AD57" s="57">
        <v>44436</v>
      </c>
      <c r="AE57" s="10">
        <v>299.99</v>
      </c>
      <c r="AF57" s="10">
        <v>1</v>
      </c>
      <c r="AG57" s="10">
        <v>2025</v>
      </c>
    </row>
    <row r="58" customHeight="1" spans="1:33">
      <c r="A58" s="51" t="s">
        <v>184</v>
      </c>
      <c r="B58" s="52">
        <v>45471</v>
      </c>
      <c r="C58" s="51" t="s">
        <v>59</v>
      </c>
      <c r="D58" s="51" t="s">
        <v>60</v>
      </c>
      <c r="E58" s="51" t="s">
        <v>94</v>
      </c>
      <c r="F58" s="51" t="s">
        <v>26</v>
      </c>
      <c r="G58" s="51" t="s">
        <v>10</v>
      </c>
      <c r="H58" s="51">
        <v>3</v>
      </c>
      <c r="I58" s="51">
        <v>699.99</v>
      </c>
      <c r="J58" s="51" t="s">
        <v>50</v>
      </c>
      <c r="K58" s="51" t="s">
        <v>9</v>
      </c>
      <c r="L58" s="51" t="s">
        <v>51</v>
      </c>
      <c r="M58" s="53">
        <v>45102</v>
      </c>
      <c r="N58" s="51">
        <v>2099.97</v>
      </c>
      <c r="O58" s="51">
        <f>MONTH(Table1[[#This Row],[Date]])</f>
        <v>6</v>
      </c>
      <c r="P58" s="51">
        <f>YEAR(Table1[[#This Row],[Date]])</f>
        <v>2024</v>
      </c>
      <c r="R58" s="51" t="str">
        <v>TRX0051</v>
      </c>
      <c r="S58" s="52">
        <v>45671</v>
      </c>
      <c r="T58" s="52" t="str">
        <v>CUST032</v>
      </c>
      <c r="U58" s="51" t="str">
        <v>Sandra Phillips</v>
      </c>
      <c r="V58" s="51" t="str">
        <v>P007</v>
      </c>
      <c r="W58" s="51" t="str">
        <v>Desk</v>
      </c>
      <c r="X58" s="10" t="str">
        <v>Furniture</v>
      </c>
      <c r="Y58" s="10">
        <v>3</v>
      </c>
      <c r="Z58" s="10">
        <v>299.99</v>
      </c>
      <c r="AA58" s="10" t="str">
        <v>Credit Card</v>
      </c>
      <c r="AB58" s="10" t="str">
        <v>South</v>
      </c>
      <c r="AC58" s="10" t="str">
        <v>Basic</v>
      </c>
      <c r="AD58" s="57">
        <v>45204</v>
      </c>
      <c r="AE58" s="10">
        <v>899.97</v>
      </c>
      <c r="AF58" s="10">
        <v>1</v>
      </c>
      <c r="AG58" s="10">
        <v>2025</v>
      </c>
    </row>
    <row r="59" customHeight="1" spans="1:33">
      <c r="A59" s="51" t="s">
        <v>185</v>
      </c>
      <c r="B59" s="52">
        <v>45471</v>
      </c>
      <c r="C59" s="51" t="s">
        <v>112</v>
      </c>
      <c r="D59" s="51" t="s">
        <v>113</v>
      </c>
      <c r="E59" s="51" t="s">
        <v>77</v>
      </c>
      <c r="F59" s="51" t="s">
        <v>23</v>
      </c>
      <c r="G59" s="51" t="s">
        <v>10</v>
      </c>
      <c r="H59" s="51">
        <v>4</v>
      </c>
      <c r="I59" s="51">
        <v>899.99</v>
      </c>
      <c r="J59" s="51" t="s">
        <v>50</v>
      </c>
      <c r="K59" s="51" t="s">
        <v>9</v>
      </c>
      <c r="L59" s="51" t="s">
        <v>51</v>
      </c>
      <c r="M59" s="53">
        <v>44993</v>
      </c>
      <c r="N59" s="51">
        <v>3599.96</v>
      </c>
      <c r="O59" s="51">
        <f>MONTH(Table1[[#This Row],[Date]])</f>
        <v>6</v>
      </c>
      <c r="P59" s="51">
        <f>YEAR(Table1[[#This Row],[Date]])</f>
        <v>2024</v>
      </c>
      <c r="R59" s="51" t="str">
        <v>TRX0059</v>
      </c>
      <c r="S59" s="52">
        <v>45673</v>
      </c>
      <c r="T59" s="52" t="str">
        <v>CUST016</v>
      </c>
      <c r="U59" s="51" t="str">
        <v>Elizabeth Hall</v>
      </c>
      <c r="V59" s="51" t="str">
        <v>P007</v>
      </c>
      <c r="W59" s="51" t="str">
        <v>Desk</v>
      </c>
      <c r="X59" s="10" t="str">
        <v>Furniture</v>
      </c>
      <c r="Y59" s="10">
        <v>5</v>
      </c>
      <c r="Z59" s="10">
        <v>299.99</v>
      </c>
      <c r="AA59" s="10" t="str">
        <v>Debit Card</v>
      </c>
      <c r="AB59" s="10" t="str">
        <v>Central</v>
      </c>
      <c r="AC59" s="10" t="str">
        <v>Basic</v>
      </c>
      <c r="AD59" s="57">
        <v>44431</v>
      </c>
      <c r="AE59" s="10">
        <v>1499.95</v>
      </c>
      <c r="AF59" s="10">
        <v>1</v>
      </c>
      <c r="AG59" s="10">
        <v>2025</v>
      </c>
    </row>
    <row r="60" customHeight="1" spans="1:33">
      <c r="A60" s="51" t="s">
        <v>186</v>
      </c>
      <c r="B60" s="52">
        <v>45472</v>
      </c>
      <c r="C60" s="51" t="s">
        <v>130</v>
      </c>
      <c r="D60" s="51" t="s">
        <v>131</v>
      </c>
      <c r="E60" s="51" t="s">
        <v>64</v>
      </c>
      <c r="F60" s="51" t="s">
        <v>18</v>
      </c>
      <c r="G60" s="51" t="s">
        <v>12</v>
      </c>
      <c r="H60" s="51">
        <v>1</v>
      </c>
      <c r="I60" s="51">
        <v>149.99</v>
      </c>
      <c r="J60" s="51" t="s">
        <v>56</v>
      </c>
      <c r="K60" s="51" t="s">
        <v>9</v>
      </c>
      <c r="L60" s="51" t="s">
        <v>46</v>
      </c>
      <c r="M60" s="53">
        <v>44851</v>
      </c>
      <c r="N60" s="51">
        <v>149.99</v>
      </c>
      <c r="O60" s="51">
        <f>MONTH(Table1[[#This Row],[Date]])</f>
        <v>6</v>
      </c>
      <c r="P60" s="51">
        <f>YEAR(Table1[[#This Row],[Date]])</f>
        <v>2024</v>
      </c>
      <c r="R60" s="51" t="str">
        <v>TRX0110</v>
      </c>
      <c r="S60" s="52">
        <v>45676</v>
      </c>
      <c r="T60" s="52" t="str">
        <v>CUST006</v>
      </c>
      <c r="U60" s="51" t="str">
        <v>Lisa Anderson</v>
      </c>
      <c r="V60" s="51" t="str">
        <v>P005</v>
      </c>
      <c r="W60" s="51" t="str">
        <v>Blender</v>
      </c>
      <c r="X60" s="10" t="str">
        <v>Appliances</v>
      </c>
      <c r="Y60" s="10">
        <v>5</v>
      </c>
      <c r="Z60" s="10">
        <v>59.99</v>
      </c>
      <c r="AA60" s="10" t="str">
        <v>Debit Card</v>
      </c>
      <c r="AB60" s="10" t="str">
        <v>East</v>
      </c>
      <c r="AC60" s="10" t="str">
        <v>Basic</v>
      </c>
      <c r="AD60" s="57">
        <v>44642</v>
      </c>
      <c r="AE60" s="10">
        <v>299.95</v>
      </c>
      <c r="AF60" s="10">
        <v>1</v>
      </c>
      <c r="AG60" s="10">
        <v>2025</v>
      </c>
    </row>
    <row r="61" customHeight="1" spans="1:33">
      <c r="A61" s="51" t="s">
        <v>187</v>
      </c>
      <c r="B61" s="52">
        <v>45474</v>
      </c>
      <c r="C61" s="51" t="s">
        <v>141</v>
      </c>
      <c r="D61" s="51" t="s">
        <v>142</v>
      </c>
      <c r="E61" s="51" t="s">
        <v>128</v>
      </c>
      <c r="F61" s="51" t="s">
        <v>22</v>
      </c>
      <c r="G61" s="51" t="s">
        <v>10</v>
      </c>
      <c r="H61" s="51">
        <v>2</v>
      </c>
      <c r="I61" s="51">
        <v>89.99</v>
      </c>
      <c r="J61" s="51" t="s">
        <v>56</v>
      </c>
      <c r="K61" s="51" t="s">
        <v>7</v>
      </c>
      <c r="L61" s="51" t="s">
        <v>51</v>
      </c>
      <c r="M61" s="53">
        <v>45275</v>
      </c>
      <c r="N61" s="51">
        <v>179.98</v>
      </c>
      <c r="O61" s="51">
        <f>MONTH(Table1[[#This Row],[Date]])</f>
        <v>7</v>
      </c>
      <c r="P61" s="51">
        <f>YEAR(Table1[[#This Row],[Date]])</f>
        <v>2024</v>
      </c>
      <c r="R61" s="51" t="str">
        <v>TRX0030</v>
      </c>
      <c r="S61" s="52">
        <v>45686</v>
      </c>
      <c r="T61" s="52" t="str">
        <v>CUST011</v>
      </c>
      <c r="U61" s="51" t="str">
        <v>William White</v>
      </c>
      <c r="V61" s="51" t="str">
        <v>P001</v>
      </c>
      <c r="W61" s="51" t="str">
        <v>Laptop</v>
      </c>
      <c r="X61" s="10" t="str">
        <v>Electronics</v>
      </c>
      <c r="Y61" s="10">
        <v>4</v>
      </c>
      <c r="Z61" s="10">
        <v>899.99</v>
      </c>
      <c r="AA61" s="10" t="str">
        <v>PayPal</v>
      </c>
      <c r="AB61" s="10" t="str">
        <v>Central</v>
      </c>
      <c r="AC61" s="10" t="str">
        <v>Basic</v>
      </c>
      <c r="AD61" s="57">
        <v>44734</v>
      </c>
      <c r="AE61" s="10">
        <v>3599.96</v>
      </c>
      <c r="AF61" s="10">
        <v>1</v>
      </c>
      <c r="AG61" s="10">
        <v>2025</v>
      </c>
    </row>
    <row r="62" customHeight="1" spans="1:33">
      <c r="A62" s="51" t="s">
        <v>188</v>
      </c>
      <c r="B62" s="52">
        <v>45475</v>
      </c>
      <c r="C62" s="51" t="s">
        <v>71</v>
      </c>
      <c r="D62" s="51" t="s">
        <v>72</v>
      </c>
      <c r="E62" s="51" t="s">
        <v>128</v>
      </c>
      <c r="F62" s="51" t="s">
        <v>22</v>
      </c>
      <c r="G62" s="51" t="s">
        <v>10</v>
      </c>
      <c r="H62" s="51">
        <v>1</v>
      </c>
      <c r="I62" s="51">
        <v>89.99</v>
      </c>
      <c r="J62" s="51" t="s">
        <v>56</v>
      </c>
      <c r="K62" s="51" t="s">
        <v>15</v>
      </c>
      <c r="L62" s="51" t="s">
        <v>57</v>
      </c>
      <c r="M62" s="53">
        <v>44802</v>
      </c>
      <c r="N62" s="51">
        <v>89.99</v>
      </c>
      <c r="O62" s="51">
        <f>MONTH(Table1[[#This Row],[Date]])</f>
        <v>7</v>
      </c>
      <c r="P62" s="51">
        <f>YEAR(Table1[[#This Row],[Date]])</f>
        <v>2024</v>
      </c>
      <c r="R62" s="51" t="str">
        <v>TRX0069</v>
      </c>
      <c r="S62" s="52">
        <v>45688</v>
      </c>
      <c r="T62" s="52" t="str">
        <v>CUST029</v>
      </c>
      <c r="U62" s="51" t="str">
        <v>Edward Mitchell</v>
      </c>
      <c r="V62" s="51" t="str">
        <v>P010</v>
      </c>
      <c r="W62" s="51" t="str">
        <v>Keyboard</v>
      </c>
      <c r="X62" s="10" t="str">
        <v>Electronics</v>
      </c>
      <c r="Y62" s="10">
        <v>2</v>
      </c>
      <c r="Z62" s="10">
        <v>89.99</v>
      </c>
      <c r="AA62" s="10" t="str">
        <v>Debit Card</v>
      </c>
      <c r="AB62" s="10" t="str">
        <v>South</v>
      </c>
      <c r="AC62" s="10" t="str">
        <v>Basic</v>
      </c>
      <c r="AD62" s="57">
        <v>44777</v>
      </c>
      <c r="AE62" s="10">
        <v>179.98</v>
      </c>
      <c r="AF62" s="10">
        <v>1</v>
      </c>
      <c r="AG62" s="10">
        <v>2025</v>
      </c>
    </row>
    <row r="63" customHeight="1" spans="1:33">
      <c r="A63" s="51" t="s">
        <v>189</v>
      </c>
      <c r="B63" s="52">
        <v>45476</v>
      </c>
      <c r="C63" s="51" t="s">
        <v>82</v>
      </c>
      <c r="D63" s="51" t="s">
        <v>83</v>
      </c>
      <c r="E63" s="51" t="s">
        <v>128</v>
      </c>
      <c r="F63" s="51" t="s">
        <v>22</v>
      </c>
      <c r="G63" s="51" t="s">
        <v>10</v>
      </c>
      <c r="H63" s="51">
        <v>1</v>
      </c>
      <c r="I63" s="51">
        <v>89.99</v>
      </c>
      <c r="J63" s="51" t="s">
        <v>45</v>
      </c>
      <c r="K63" s="51" t="s">
        <v>13</v>
      </c>
      <c r="L63" s="51" t="s">
        <v>57</v>
      </c>
      <c r="M63" s="53">
        <v>44611</v>
      </c>
      <c r="N63" s="51">
        <v>89.99</v>
      </c>
      <c r="O63" s="51">
        <f>MONTH(Table1[[#This Row],[Date]])</f>
        <v>7</v>
      </c>
      <c r="P63" s="51">
        <f>YEAR(Table1[[#This Row],[Date]])</f>
        <v>2024</v>
      </c>
      <c r="R63" s="51" t="str">
        <v>TRX0105</v>
      </c>
      <c r="S63" s="52">
        <v>45695</v>
      </c>
      <c r="T63" s="52" t="str">
        <v>CUST048</v>
      </c>
      <c r="U63" s="51" t="str">
        <v>Virginia Sanders</v>
      </c>
      <c r="V63" s="51" t="str">
        <v>P007</v>
      </c>
      <c r="W63" s="51" t="str">
        <v>Desk</v>
      </c>
      <c r="X63" s="10" t="str">
        <v>Furniture</v>
      </c>
      <c r="Y63" s="10">
        <v>5</v>
      </c>
      <c r="Z63" s="10">
        <v>299.99</v>
      </c>
      <c r="AA63" s="10" t="str">
        <v>Credit Card</v>
      </c>
      <c r="AB63" s="10" t="str">
        <v>South</v>
      </c>
      <c r="AC63" s="10" t="str">
        <v>Basic</v>
      </c>
      <c r="AD63" s="57">
        <v>44959</v>
      </c>
      <c r="AE63" s="10">
        <v>1499.95</v>
      </c>
      <c r="AF63" s="10">
        <v>2</v>
      </c>
      <c r="AG63" s="10">
        <v>2025</v>
      </c>
    </row>
    <row r="64" customHeight="1" spans="1:33">
      <c r="A64" s="51" t="s">
        <v>190</v>
      </c>
      <c r="B64" s="52">
        <v>45476</v>
      </c>
      <c r="C64" s="51" t="s">
        <v>191</v>
      </c>
      <c r="D64" s="51" t="s">
        <v>192</v>
      </c>
      <c r="E64" s="51" t="s">
        <v>126</v>
      </c>
      <c r="F64" s="51" t="s">
        <v>19</v>
      </c>
      <c r="G64" s="51" t="s">
        <v>8</v>
      </c>
      <c r="H64" s="51">
        <v>5</v>
      </c>
      <c r="I64" s="51">
        <v>79.99</v>
      </c>
      <c r="J64" s="51" t="s">
        <v>73</v>
      </c>
      <c r="K64" s="51" t="s">
        <v>7</v>
      </c>
      <c r="L64" s="51" t="s">
        <v>46</v>
      </c>
      <c r="M64" s="53">
        <v>44981</v>
      </c>
      <c r="N64" s="51">
        <v>399.95</v>
      </c>
      <c r="O64" s="51">
        <f>MONTH(Table1[[#This Row],[Date]])</f>
        <v>7</v>
      </c>
      <c r="P64" s="51">
        <f>YEAR(Table1[[#This Row],[Date]])</f>
        <v>2024</v>
      </c>
      <c r="R64" s="51" t="str">
        <v>TRX0089</v>
      </c>
      <c r="S64" s="52">
        <v>45704</v>
      </c>
      <c r="T64" s="52" t="str">
        <v>CUST021</v>
      </c>
      <c r="U64" s="51" t="str">
        <v>Kevin Scott</v>
      </c>
      <c r="V64" s="51" t="str">
        <v>P006</v>
      </c>
      <c r="W64" s="51" t="str">
        <v>Office Chair</v>
      </c>
      <c r="X64" s="10" t="str">
        <v>Furniture</v>
      </c>
      <c r="Y64" s="10">
        <v>3</v>
      </c>
      <c r="Z64" s="10">
        <v>199.99</v>
      </c>
      <c r="AA64" s="10" t="str">
        <v>Cash</v>
      </c>
      <c r="AB64" s="10" t="str">
        <v>Central</v>
      </c>
      <c r="AC64" s="10" t="str">
        <v>Basic</v>
      </c>
      <c r="AD64" s="57">
        <v>44735</v>
      </c>
      <c r="AE64" s="10">
        <v>599.97</v>
      </c>
      <c r="AF64" s="10">
        <v>2</v>
      </c>
      <c r="AG64" s="10">
        <v>2025</v>
      </c>
    </row>
    <row r="65" customHeight="1" spans="1:33">
      <c r="A65" s="51" t="s">
        <v>193</v>
      </c>
      <c r="B65" s="52">
        <v>45481</v>
      </c>
      <c r="C65" s="51" t="s">
        <v>194</v>
      </c>
      <c r="D65" s="51" t="s">
        <v>195</v>
      </c>
      <c r="E65" s="51" t="s">
        <v>64</v>
      </c>
      <c r="F65" s="51" t="s">
        <v>18</v>
      </c>
      <c r="G65" s="51" t="s">
        <v>12</v>
      </c>
      <c r="H65" s="51">
        <v>1</v>
      </c>
      <c r="I65" s="51">
        <v>149.99</v>
      </c>
      <c r="J65" s="51" t="s">
        <v>56</v>
      </c>
      <c r="K65" s="51" t="s">
        <v>11</v>
      </c>
      <c r="L65" s="51" t="s">
        <v>46</v>
      </c>
      <c r="M65" s="53">
        <v>44421</v>
      </c>
      <c r="N65" s="51">
        <v>149.99</v>
      </c>
      <c r="O65" s="51">
        <f>MONTH(Table1[[#This Row],[Date]])</f>
        <v>7</v>
      </c>
      <c r="P65" s="51">
        <f>YEAR(Table1[[#This Row],[Date]])</f>
        <v>2024</v>
      </c>
      <c r="R65" s="51" t="str">
        <v>TRX0196</v>
      </c>
      <c r="S65" s="52">
        <v>45704</v>
      </c>
      <c r="T65" s="52" t="str">
        <v>CUST023</v>
      </c>
      <c r="U65" s="51" t="str">
        <v>Paul Baker</v>
      </c>
      <c r="V65" s="51" t="str">
        <v>P010</v>
      </c>
      <c r="W65" s="51" t="str">
        <v>Keyboard</v>
      </c>
      <c r="X65" s="10" t="str">
        <v>Electronics</v>
      </c>
      <c r="Y65" s="10">
        <v>2</v>
      </c>
      <c r="Z65" s="10">
        <v>89.99</v>
      </c>
      <c r="AA65" s="10" t="str">
        <v>PayPal</v>
      </c>
      <c r="AB65" s="10" t="str">
        <v>Central</v>
      </c>
      <c r="AC65" s="10" t="str">
        <v>Basic</v>
      </c>
      <c r="AD65" s="57">
        <v>45257</v>
      </c>
      <c r="AE65" s="10">
        <v>179.98</v>
      </c>
      <c r="AF65" s="10">
        <v>2</v>
      </c>
      <c r="AG65" s="10">
        <v>2025</v>
      </c>
    </row>
    <row r="66" customHeight="1" spans="1:33">
      <c r="A66" s="51" t="s">
        <v>196</v>
      </c>
      <c r="B66" s="52">
        <v>45481</v>
      </c>
      <c r="C66" s="51" t="s">
        <v>62</v>
      </c>
      <c r="D66" s="51" t="s">
        <v>63</v>
      </c>
      <c r="E66" s="51" t="s">
        <v>94</v>
      </c>
      <c r="F66" s="51" t="s">
        <v>26</v>
      </c>
      <c r="G66" s="51" t="s">
        <v>10</v>
      </c>
      <c r="H66" s="51">
        <v>2</v>
      </c>
      <c r="I66" s="51">
        <v>699.99</v>
      </c>
      <c r="J66" s="51" t="s">
        <v>56</v>
      </c>
      <c r="K66" s="51" t="s">
        <v>9</v>
      </c>
      <c r="L66" s="51" t="s">
        <v>51</v>
      </c>
      <c r="M66" s="53">
        <v>45389</v>
      </c>
      <c r="N66" s="51">
        <v>1399.98</v>
      </c>
      <c r="O66" s="51">
        <f>MONTH(Table1[[#This Row],[Date]])</f>
        <v>7</v>
      </c>
      <c r="P66" s="51">
        <f>YEAR(Table1[[#This Row],[Date]])</f>
        <v>2024</v>
      </c>
      <c r="R66" s="51" t="str">
        <v>TRX0151</v>
      </c>
      <c r="S66" s="52">
        <v>45710</v>
      </c>
      <c r="T66" s="52" t="str">
        <v>CUST040</v>
      </c>
      <c r="U66" s="51" t="str">
        <v>Sharon Butler</v>
      </c>
      <c r="V66" s="51" t="str">
        <v>P002</v>
      </c>
      <c r="W66" s="51" t="str">
        <v>Smartphone</v>
      </c>
      <c r="X66" s="10" t="str">
        <v>Electronics</v>
      </c>
      <c r="Y66" s="10">
        <v>1</v>
      </c>
      <c r="Z66" s="10">
        <v>699.99</v>
      </c>
      <c r="AA66" s="10" t="str">
        <v>PayPal</v>
      </c>
      <c r="AB66" s="10" t="str">
        <v>West</v>
      </c>
      <c r="AC66" s="10" t="str">
        <v>Basic</v>
      </c>
      <c r="AD66" s="57">
        <v>44934</v>
      </c>
      <c r="AE66" s="10">
        <v>699.99</v>
      </c>
      <c r="AF66" s="10">
        <v>2</v>
      </c>
      <c r="AG66" s="10">
        <v>2025</v>
      </c>
    </row>
    <row r="67" customHeight="1" spans="1:33">
      <c r="A67" s="51" t="s">
        <v>197</v>
      </c>
      <c r="B67" s="52">
        <v>45481</v>
      </c>
      <c r="C67" s="51" t="s">
        <v>109</v>
      </c>
      <c r="D67" s="51" t="s">
        <v>110</v>
      </c>
      <c r="E67" s="51" t="s">
        <v>128</v>
      </c>
      <c r="F67" s="51" t="s">
        <v>22</v>
      </c>
      <c r="G67" s="51" t="s">
        <v>10</v>
      </c>
      <c r="H67" s="51">
        <v>5</v>
      </c>
      <c r="I67" s="51">
        <v>89.99</v>
      </c>
      <c r="J67" s="51" t="s">
        <v>73</v>
      </c>
      <c r="K67" s="51" t="s">
        <v>11</v>
      </c>
      <c r="L67" s="51" t="s">
        <v>51</v>
      </c>
      <c r="M67" s="53">
        <v>45161</v>
      </c>
      <c r="N67" s="51">
        <v>449.95</v>
      </c>
      <c r="O67" s="51">
        <f>MONTH(Table1[[#This Row],[Date]])</f>
        <v>7</v>
      </c>
      <c r="P67" s="51">
        <f>YEAR(Table1[[#This Row],[Date]])</f>
        <v>2024</v>
      </c>
      <c r="R67" s="51" t="str">
        <v>TRX0048</v>
      </c>
      <c r="S67" s="52">
        <v>45715</v>
      </c>
      <c r="T67" s="52" t="str">
        <v>CUST048</v>
      </c>
      <c r="U67" s="51" t="str">
        <v>Virginia Sanders</v>
      </c>
      <c r="V67" s="51" t="str">
        <v>P007</v>
      </c>
      <c r="W67" s="51" t="str">
        <v>Desk</v>
      </c>
      <c r="X67" s="10" t="str">
        <v>Furniture</v>
      </c>
      <c r="Y67" s="10">
        <v>2</v>
      </c>
      <c r="Z67" s="10">
        <v>299.99</v>
      </c>
      <c r="AA67" s="10" t="str">
        <v>PayPal</v>
      </c>
      <c r="AB67" s="10" t="str">
        <v>South</v>
      </c>
      <c r="AC67" s="10" t="str">
        <v>Basic</v>
      </c>
      <c r="AD67" s="57">
        <v>44576</v>
      </c>
      <c r="AE67" s="10">
        <v>599.98</v>
      </c>
      <c r="AF67" s="10">
        <v>2</v>
      </c>
      <c r="AG67" s="10">
        <v>2025</v>
      </c>
    </row>
    <row r="68" customHeight="1" spans="1:33">
      <c r="A68" s="51" t="s">
        <v>198</v>
      </c>
      <c r="B68" s="52">
        <v>45482</v>
      </c>
      <c r="C68" s="51" t="s">
        <v>180</v>
      </c>
      <c r="D68" s="51" t="s">
        <v>181</v>
      </c>
      <c r="E68" s="51" t="s">
        <v>55</v>
      </c>
      <c r="F68" s="51" t="s">
        <v>17</v>
      </c>
      <c r="G68" s="51" t="s">
        <v>8</v>
      </c>
      <c r="H68" s="51">
        <v>4</v>
      </c>
      <c r="I68" s="51">
        <v>59.99</v>
      </c>
      <c r="J68" s="51" t="s">
        <v>45</v>
      </c>
      <c r="K68" s="51" t="s">
        <v>13</v>
      </c>
      <c r="L68" s="51" t="s">
        <v>57</v>
      </c>
      <c r="M68" s="53">
        <v>44509</v>
      </c>
      <c r="N68" s="51">
        <v>239.96</v>
      </c>
      <c r="O68" s="51">
        <f>MONTH(Table1[[#This Row],[Date]])</f>
        <v>7</v>
      </c>
      <c r="P68" s="51">
        <f>YEAR(Table1[[#This Row],[Date]])</f>
        <v>2024</v>
      </c>
      <c r="R68" s="51" t="str">
        <v>TRX0227</v>
      </c>
      <c r="S68" s="52">
        <v>45718</v>
      </c>
      <c r="T68" s="52" t="str">
        <v>CUST017</v>
      </c>
      <c r="U68" s="51" t="str">
        <v>Charles Allen</v>
      </c>
      <c r="V68" s="51" t="str">
        <v>P008</v>
      </c>
      <c r="W68" s="51" t="str">
        <v>Bookshelf</v>
      </c>
      <c r="X68" s="10" t="str">
        <v>Furniture</v>
      </c>
      <c r="Y68" s="10">
        <v>2</v>
      </c>
      <c r="Z68" s="10">
        <v>149.99</v>
      </c>
      <c r="AA68" s="10" t="str">
        <v>Cash</v>
      </c>
      <c r="AB68" s="10" t="str">
        <v>Central</v>
      </c>
      <c r="AC68" s="10" t="str">
        <v>Basic</v>
      </c>
      <c r="AD68" s="57">
        <v>45068</v>
      </c>
      <c r="AE68" s="10">
        <v>299.98</v>
      </c>
      <c r="AF68" s="10">
        <v>3</v>
      </c>
      <c r="AG68" s="10">
        <v>2025</v>
      </c>
    </row>
    <row r="69" customHeight="1" spans="1:33">
      <c r="A69" s="51" t="s">
        <v>199</v>
      </c>
      <c r="B69" s="52">
        <v>45484</v>
      </c>
      <c r="C69" s="51" t="s">
        <v>48</v>
      </c>
      <c r="D69" s="51" t="s">
        <v>49</v>
      </c>
      <c r="E69" s="51" t="s">
        <v>69</v>
      </c>
      <c r="F69" s="51" t="s">
        <v>21</v>
      </c>
      <c r="G69" s="51" t="s">
        <v>10</v>
      </c>
      <c r="H69" s="51">
        <v>1</v>
      </c>
      <c r="I69" s="51">
        <v>149.99</v>
      </c>
      <c r="J69" s="51" t="s">
        <v>45</v>
      </c>
      <c r="K69" s="51" t="s">
        <v>7</v>
      </c>
      <c r="L69" s="51" t="s">
        <v>57</v>
      </c>
      <c r="M69" s="53">
        <v>44909</v>
      </c>
      <c r="N69" s="51">
        <v>149.99</v>
      </c>
      <c r="O69" s="51">
        <f>MONTH(Table1[[#This Row],[Date]])</f>
        <v>7</v>
      </c>
      <c r="P69" s="51">
        <f>YEAR(Table1[[#This Row],[Date]])</f>
        <v>2024</v>
      </c>
      <c r="R69" s="51" t="str">
        <v>TRX0014</v>
      </c>
      <c r="S69" s="52">
        <v>45734</v>
      </c>
      <c r="T69" s="52" t="str">
        <v>CUST033</v>
      </c>
      <c r="U69" s="51" t="str">
        <v>Frank Torres</v>
      </c>
      <c r="V69" s="51" t="str">
        <v>P005</v>
      </c>
      <c r="W69" s="51" t="str">
        <v>Blender</v>
      </c>
      <c r="X69" s="10" t="str">
        <v>Appliances</v>
      </c>
      <c r="Y69" s="10">
        <v>2</v>
      </c>
      <c r="Z69" s="10">
        <v>59.99</v>
      </c>
      <c r="AA69" s="10" t="str">
        <v>Credit Card</v>
      </c>
      <c r="AB69" s="10" t="str">
        <v>West</v>
      </c>
      <c r="AC69" s="10" t="str">
        <v>Basic</v>
      </c>
      <c r="AD69" s="57">
        <v>45193</v>
      </c>
      <c r="AE69" s="10">
        <v>119.98</v>
      </c>
      <c r="AF69" s="10">
        <v>3</v>
      </c>
      <c r="AG69" s="10">
        <v>2025</v>
      </c>
    </row>
    <row r="70" customHeight="1" spans="1:33">
      <c r="A70" s="51" t="s">
        <v>200</v>
      </c>
      <c r="B70" s="52">
        <v>45484</v>
      </c>
      <c r="C70" s="51" t="s">
        <v>201</v>
      </c>
      <c r="D70" s="51" t="s">
        <v>202</v>
      </c>
      <c r="E70" s="51" t="s">
        <v>118</v>
      </c>
      <c r="F70" s="51" t="s">
        <v>20</v>
      </c>
      <c r="G70" s="51" t="s">
        <v>12</v>
      </c>
      <c r="H70" s="51">
        <v>1</v>
      </c>
      <c r="I70" s="51">
        <v>299.99</v>
      </c>
      <c r="J70" s="51" t="s">
        <v>50</v>
      </c>
      <c r="K70" s="51" t="s">
        <v>11</v>
      </c>
      <c r="L70" s="51" t="s">
        <v>51</v>
      </c>
      <c r="M70" s="53">
        <v>44891</v>
      </c>
      <c r="N70" s="51">
        <v>299.99</v>
      </c>
      <c r="O70" s="51">
        <f>MONTH(Table1[[#This Row],[Date]])</f>
        <v>7</v>
      </c>
      <c r="P70" s="51">
        <f>YEAR(Table1[[#This Row],[Date]])</f>
        <v>2024</v>
      </c>
      <c r="R70" s="51" t="str">
        <v>TRX0013</v>
      </c>
      <c r="S70" s="52">
        <v>45737</v>
      </c>
      <c r="T70" s="52" t="str">
        <v>CUST024</v>
      </c>
      <c r="U70" s="51" t="str">
        <v>Dorothy Nelson</v>
      </c>
      <c r="V70" s="51" t="str">
        <v>P001</v>
      </c>
      <c r="W70" s="51" t="str">
        <v>Laptop</v>
      </c>
      <c r="X70" s="10" t="str">
        <v>Electronics</v>
      </c>
      <c r="Y70" s="10">
        <v>3</v>
      </c>
      <c r="Z70" s="10">
        <v>899.99</v>
      </c>
      <c r="AA70" s="10" t="str">
        <v>PayPal</v>
      </c>
      <c r="AB70" s="10" t="str">
        <v>North</v>
      </c>
      <c r="AC70" s="10" t="str">
        <v>Basic</v>
      </c>
      <c r="AD70" s="57">
        <v>44975</v>
      </c>
      <c r="AE70" s="10">
        <v>2699.97</v>
      </c>
      <c r="AF70" s="10">
        <v>3</v>
      </c>
      <c r="AG70" s="10">
        <v>2025</v>
      </c>
    </row>
    <row r="71" customHeight="1" spans="1:33">
      <c r="A71" s="51" t="s">
        <v>203</v>
      </c>
      <c r="B71" s="52">
        <v>45487</v>
      </c>
      <c r="C71" s="51" t="s">
        <v>201</v>
      </c>
      <c r="D71" s="51" t="s">
        <v>202</v>
      </c>
      <c r="E71" s="51" t="s">
        <v>136</v>
      </c>
      <c r="F71" s="51" t="s">
        <v>25</v>
      </c>
      <c r="G71" s="51" t="s">
        <v>12</v>
      </c>
      <c r="H71" s="51">
        <v>2</v>
      </c>
      <c r="I71" s="51">
        <v>199.99</v>
      </c>
      <c r="J71" s="51" t="s">
        <v>45</v>
      </c>
      <c r="K71" s="51" t="s">
        <v>11</v>
      </c>
      <c r="L71" s="51" t="s">
        <v>46</v>
      </c>
      <c r="M71" s="53">
        <v>44541</v>
      </c>
      <c r="N71" s="51">
        <v>399.98</v>
      </c>
      <c r="O71" s="51">
        <f>MONTH(Table1[[#This Row],[Date]])</f>
        <v>7</v>
      </c>
      <c r="P71" s="51">
        <f>YEAR(Table1[[#This Row],[Date]])</f>
        <v>2024</v>
      </c>
      <c r="R71" s="51" t="str">
        <v>TRX0152</v>
      </c>
      <c r="S71" s="52">
        <v>45743</v>
      </c>
      <c r="T71" s="52" t="str">
        <v>CUST044</v>
      </c>
      <c r="U71" s="51" t="str">
        <v>Cynthia Price</v>
      </c>
      <c r="V71" s="51" t="str">
        <v>P004</v>
      </c>
      <c r="W71" s="51" t="str">
        <v>Coffee Maker</v>
      </c>
      <c r="X71" s="10" t="str">
        <v>Appliances</v>
      </c>
      <c r="Y71" s="10">
        <v>4</v>
      </c>
      <c r="Z71" s="10">
        <v>79.99</v>
      </c>
      <c r="AA71" s="10" t="str">
        <v>Credit Card</v>
      </c>
      <c r="AB71" s="10" t="str">
        <v>Central</v>
      </c>
      <c r="AC71" s="10" t="str">
        <v>Basic</v>
      </c>
      <c r="AD71" s="57">
        <v>45288</v>
      </c>
      <c r="AE71" s="10">
        <v>319.96</v>
      </c>
      <c r="AF71" s="10">
        <v>3</v>
      </c>
      <c r="AG71" s="10">
        <v>2025</v>
      </c>
    </row>
    <row r="72" customHeight="1" spans="1:33">
      <c r="A72" s="51" t="s">
        <v>204</v>
      </c>
      <c r="B72" s="52">
        <v>45490</v>
      </c>
      <c r="C72" s="51" t="s">
        <v>205</v>
      </c>
      <c r="D72" s="51" t="s">
        <v>206</v>
      </c>
      <c r="E72" s="51" t="s">
        <v>55</v>
      </c>
      <c r="F72" s="51" t="s">
        <v>17</v>
      </c>
      <c r="G72" s="51" t="s">
        <v>8</v>
      </c>
      <c r="H72" s="51">
        <v>3</v>
      </c>
      <c r="I72" s="51">
        <v>59.99</v>
      </c>
      <c r="J72" s="51" t="s">
        <v>50</v>
      </c>
      <c r="K72" s="51" t="s">
        <v>15</v>
      </c>
      <c r="L72" s="51" t="s">
        <v>46</v>
      </c>
      <c r="M72" s="53">
        <v>45130</v>
      </c>
      <c r="N72" s="51">
        <v>179.97</v>
      </c>
      <c r="O72" s="51">
        <f>MONTH(Table1[[#This Row],[Date]])</f>
        <v>7</v>
      </c>
      <c r="P72" s="51">
        <f>YEAR(Table1[[#This Row],[Date]])</f>
        <v>2024</v>
      </c>
      <c r="R72" s="51" t="str">
        <v>TRX0213</v>
      </c>
      <c r="S72" s="52">
        <v>45745</v>
      </c>
      <c r="T72" s="52" t="str">
        <v>CUST020</v>
      </c>
      <c r="U72" s="51" t="str">
        <v>Margaret Wright</v>
      </c>
      <c r="V72" s="51" t="str">
        <v>P010</v>
      </c>
      <c r="W72" s="51" t="str">
        <v>Keyboard</v>
      </c>
      <c r="X72" s="10" t="str">
        <v>Electronics</v>
      </c>
      <c r="Y72" s="10">
        <v>5</v>
      </c>
      <c r="Z72" s="10">
        <v>89.99</v>
      </c>
      <c r="AA72" s="10" t="str">
        <v>PayPal</v>
      </c>
      <c r="AB72" s="10" t="str">
        <v>South</v>
      </c>
      <c r="AC72" s="10" t="str">
        <v>Basic</v>
      </c>
      <c r="AD72" s="57">
        <v>44704</v>
      </c>
      <c r="AE72" s="10">
        <v>449.95</v>
      </c>
      <c r="AF72" s="10">
        <v>3</v>
      </c>
      <c r="AG72" s="10">
        <v>2025</v>
      </c>
    </row>
    <row r="73" customHeight="1" spans="1:33">
      <c r="A73" s="51" t="s">
        <v>207</v>
      </c>
      <c r="B73" s="52">
        <v>45490</v>
      </c>
      <c r="C73" s="51" t="s">
        <v>86</v>
      </c>
      <c r="D73" s="51" t="s">
        <v>87</v>
      </c>
      <c r="E73" s="51" t="s">
        <v>64</v>
      </c>
      <c r="F73" s="51" t="s">
        <v>18</v>
      </c>
      <c r="G73" s="51" t="s">
        <v>12</v>
      </c>
      <c r="H73" s="51">
        <v>3</v>
      </c>
      <c r="I73" s="51">
        <v>149.99</v>
      </c>
      <c r="J73" s="51" t="s">
        <v>45</v>
      </c>
      <c r="K73" s="51" t="s">
        <v>7</v>
      </c>
      <c r="L73" s="51" t="s">
        <v>51</v>
      </c>
      <c r="M73" s="53">
        <v>45199</v>
      </c>
      <c r="N73" s="51">
        <v>449.97</v>
      </c>
      <c r="O73" s="51">
        <f>MONTH(Table1[[#This Row],[Date]])</f>
        <v>7</v>
      </c>
      <c r="P73" s="51">
        <f>YEAR(Table1[[#This Row],[Date]])</f>
        <v>2024</v>
      </c>
      <c r="R73" s="51" t="str">
        <v>TRX0039</v>
      </c>
      <c r="S73" s="52">
        <v>45755</v>
      </c>
      <c r="T73" s="52" t="str">
        <v>CUST048</v>
      </c>
      <c r="U73" s="51" t="str">
        <v>Virginia Sanders</v>
      </c>
      <c r="V73" s="51" t="str">
        <v>P004</v>
      </c>
      <c r="W73" s="51" t="str">
        <v>Coffee Maker</v>
      </c>
      <c r="X73" s="10" t="str">
        <v>Appliances</v>
      </c>
      <c r="Y73" s="10">
        <v>3</v>
      </c>
      <c r="Z73" s="10">
        <v>79.99</v>
      </c>
      <c r="AA73" s="10" t="str">
        <v>Credit Card</v>
      </c>
      <c r="AB73" s="10" t="str">
        <v>North</v>
      </c>
      <c r="AC73" s="10" t="str">
        <v>Basic</v>
      </c>
      <c r="AD73" s="57">
        <v>44511</v>
      </c>
      <c r="AE73" s="10">
        <v>239.97</v>
      </c>
      <c r="AF73" s="10">
        <v>4</v>
      </c>
      <c r="AG73" s="10">
        <v>2025</v>
      </c>
    </row>
    <row r="74" customHeight="1" spans="1:33">
      <c r="A74" s="51" t="s">
        <v>208</v>
      </c>
      <c r="B74" s="52">
        <v>45491</v>
      </c>
      <c r="C74" s="51" t="s">
        <v>79</v>
      </c>
      <c r="D74" s="51" t="s">
        <v>80</v>
      </c>
      <c r="E74" s="51" t="s">
        <v>136</v>
      </c>
      <c r="F74" s="51" t="s">
        <v>25</v>
      </c>
      <c r="G74" s="51" t="s">
        <v>12</v>
      </c>
      <c r="H74" s="51">
        <v>3</v>
      </c>
      <c r="I74" s="51">
        <v>199.99</v>
      </c>
      <c r="J74" s="51" t="s">
        <v>45</v>
      </c>
      <c r="K74" s="51" t="s">
        <v>11</v>
      </c>
      <c r="L74" s="51" t="s">
        <v>51</v>
      </c>
      <c r="M74" s="53">
        <v>45254</v>
      </c>
      <c r="N74" s="51">
        <v>599.97</v>
      </c>
      <c r="O74" s="51">
        <f>MONTH(Table1[[#This Row],[Date]])</f>
        <v>7</v>
      </c>
      <c r="P74" s="51">
        <f>YEAR(Table1[[#This Row],[Date]])</f>
        <v>2024</v>
      </c>
      <c r="R74" s="51" t="str">
        <v>TRX0116</v>
      </c>
      <c r="S74" s="52">
        <v>45756</v>
      </c>
      <c r="T74" s="52" t="str">
        <v>CUST009</v>
      </c>
      <c r="U74" s="51" t="str">
        <v>Robert Thomas</v>
      </c>
      <c r="V74" s="51" t="str">
        <v>P010</v>
      </c>
      <c r="W74" s="51" t="str">
        <v>Keyboard</v>
      </c>
      <c r="X74" s="10" t="str">
        <v>Electronics</v>
      </c>
      <c r="Y74" s="10">
        <v>1</v>
      </c>
      <c r="Z74" s="10">
        <v>89.99</v>
      </c>
      <c r="AA74" s="10" t="str">
        <v>Debit Card</v>
      </c>
      <c r="AB74" s="10" t="str">
        <v>East</v>
      </c>
      <c r="AC74" s="10" t="str">
        <v>Basic</v>
      </c>
      <c r="AD74" s="57">
        <v>45346</v>
      </c>
      <c r="AE74" s="10">
        <v>89.99</v>
      </c>
      <c r="AF74" s="10">
        <v>4</v>
      </c>
      <c r="AG74" s="10">
        <v>2025</v>
      </c>
    </row>
    <row r="75" customHeight="1" spans="1:33">
      <c r="A75" s="51" t="s">
        <v>209</v>
      </c>
      <c r="B75" s="52">
        <v>45496</v>
      </c>
      <c r="C75" s="51" t="s">
        <v>159</v>
      </c>
      <c r="D75" s="51" t="s">
        <v>160</v>
      </c>
      <c r="E75" s="51" t="s">
        <v>77</v>
      </c>
      <c r="F75" s="51" t="s">
        <v>23</v>
      </c>
      <c r="G75" s="51" t="s">
        <v>10</v>
      </c>
      <c r="H75" s="51">
        <v>1</v>
      </c>
      <c r="I75" s="51">
        <v>899.99</v>
      </c>
      <c r="J75" s="51" t="s">
        <v>45</v>
      </c>
      <c r="K75" s="51" t="s">
        <v>7</v>
      </c>
      <c r="L75" s="51" t="s">
        <v>57</v>
      </c>
      <c r="M75" s="53">
        <v>45179</v>
      </c>
      <c r="N75" s="51">
        <v>899.99</v>
      </c>
      <c r="O75" s="51">
        <f>MONTH(Table1[[#This Row],[Date]])</f>
        <v>7</v>
      </c>
      <c r="P75" s="51">
        <f>YEAR(Table1[[#This Row],[Date]])</f>
        <v>2024</v>
      </c>
      <c r="R75" s="51" t="str">
        <v>TRX0120</v>
      </c>
      <c r="S75" s="52">
        <v>45758</v>
      </c>
      <c r="T75" s="52" t="str">
        <v>CUST045</v>
      </c>
      <c r="U75" s="51" t="str">
        <v>Douglas Watson</v>
      </c>
      <c r="V75" s="51" t="str">
        <v>P002</v>
      </c>
      <c r="W75" s="51" t="str">
        <v>Smartphone</v>
      </c>
      <c r="X75" s="10" t="str">
        <v>Electronics</v>
      </c>
      <c r="Y75" s="10">
        <v>3</v>
      </c>
      <c r="Z75" s="10">
        <v>699.99</v>
      </c>
      <c r="AA75" s="10" t="str">
        <v>PayPal</v>
      </c>
      <c r="AB75" s="10" t="str">
        <v>North</v>
      </c>
      <c r="AC75" s="10" t="str">
        <v>Basic</v>
      </c>
      <c r="AD75" s="57">
        <v>44909</v>
      </c>
      <c r="AE75" s="10">
        <v>2099.97</v>
      </c>
      <c r="AF75" s="10">
        <v>4</v>
      </c>
      <c r="AG75" s="10">
        <v>2025</v>
      </c>
    </row>
    <row r="76" customHeight="1" spans="1:33">
      <c r="A76" s="51" t="s">
        <v>210</v>
      </c>
      <c r="B76" s="52">
        <v>45497</v>
      </c>
      <c r="C76" s="51" t="s">
        <v>48</v>
      </c>
      <c r="D76" s="51" t="s">
        <v>49</v>
      </c>
      <c r="E76" s="51" t="s">
        <v>77</v>
      </c>
      <c r="F76" s="51" t="s">
        <v>23</v>
      </c>
      <c r="G76" s="51" t="s">
        <v>10</v>
      </c>
      <c r="H76" s="51">
        <v>5</v>
      </c>
      <c r="I76" s="51">
        <v>899.99</v>
      </c>
      <c r="J76" s="51" t="s">
        <v>73</v>
      </c>
      <c r="K76" s="51" t="s">
        <v>13</v>
      </c>
      <c r="L76" s="51" t="s">
        <v>57</v>
      </c>
      <c r="M76" s="53">
        <v>44899</v>
      </c>
      <c r="N76" s="51">
        <v>4499.95</v>
      </c>
      <c r="O76" s="51">
        <f>MONTH(Table1[[#This Row],[Date]])</f>
        <v>7</v>
      </c>
      <c r="P76" s="51">
        <f>YEAR(Table1[[#This Row],[Date]])</f>
        <v>2024</v>
      </c>
      <c r="R76" s="51" t="str">
        <v>TRX0103</v>
      </c>
      <c r="S76" s="52">
        <v>45758</v>
      </c>
      <c r="T76" s="52" t="str">
        <v>CUST039</v>
      </c>
      <c r="U76" s="51" t="str">
        <v>Lawrence Reed</v>
      </c>
      <c r="V76" s="51" t="str">
        <v>P010</v>
      </c>
      <c r="W76" s="51" t="str">
        <v>Keyboard</v>
      </c>
      <c r="X76" s="10" t="str">
        <v>Electronics</v>
      </c>
      <c r="Y76" s="10">
        <v>2</v>
      </c>
      <c r="Z76" s="10">
        <v>89.99</v>
      </c>
      <c r="AA76" s="10" t="str">
        <v>Debit Card</v>
      </c>
      <c r="AB76" s="10" t="str">
        <v>East</v>
      </c>
      <c r="AC76" s="10" t="str">
        <v>Basic</v>
      </c>
      <c r="AD76" s="57">
        <v>45088</v>
      </c>
      <c r="AE76" s="10">
        <v>179.98</v>
      </c>
      <c r="AF76" s="10">
        <v>4</v>
      </c>
      <c r="AG76" s="10">
        <v>2025</v>
      </c>
    </row>
    <row r="77" customHeight="1" spans="1:33">
      <c r="A77" s="51" t="s">
        <v>211</v>
      </c>
      <c r="B77" s="52">
        <v>45498</v>
      </c>
      <c r="C77" s="51" t="s">
        <v>191</v>
      </c>
      <c r="D77" s="51" t="s">
        <v>192</v>
      </c>
      <c r="E77" s="51" t="s">
        <v>55</v>
      </c>
      <c r="F77" s="51" t="s">
        <v>17</v>
      </c>
      <c r="G77" s="51" t="s">
        <v>8</v>
      </c>
      <c r="H77" s="51">
        <v>2</v>
      </c>
      <c r="I77" s="51">
        <v>59.99</v>
      </c>
      <c r="J77" s="51" t="s">
        <v>45</v>
      </c>
      <c r="K77" s="51" t="s">
        <v>11</v>
      </c>
      <c r="L77" s="51" t="s">
        <v>57</v>
      </c>
      <c r="M77" s="53">
        <v>45152</v>
      </c>
      <c r="N77" s="51">
        <v>119.98</v>
      </c>
      <c r="O77" s="51">
        <f>MONTH(Table1[[#This Row],[Date]])</f>
        <v>7</v>
      </c>
      <c r="P77" s="51">
        <f>YEAR(Table1[[#This Row],[Date]])</f>
        <v>2024</v>
      </c>
      <c r="R77" s="51"/>
      <c r="S77" s="52"/>
      <c r="T77" s="52"/>
      <c r="U77" s="51"/>
      <c r="V77" s="51"/>
      <c r="W77" s="51"/>
      <c r="X77" s="10"/>
      <c r="Y77" s="10"/>
      <c r="Z77" s="10"/>
      <c r="AA77" s="10"/>
      <c r="AB77" s="10"/>
      <c r="AC77" s="10"/>
      <c r="AD77" s="57"/>
      <c r="AE77" s="10"/>
      <c r="AF77" s="10"/>
      <c r="AG77" s="10"/>
    </row>
    <row r="78" customHeight="1" spans="1:33">
      <c r="A78" s="51" t="s">
        <v>212</v>
      </c>
      <c r="B78" s="52">
        <v>45498</v>
      </c>
      <c r="C78" s="51" t="s">
        <v>205</v>
      </c>
      <c r="D78" s="51" t="s">
        <v>206</v>
      </c>
      <c r="E78" s="51" t="s">
        <v>44</v>
      </c>
      <c r="F78" s="51" t="s">
        <v>24</v>
      </c>
      <c r="G78" s="51" t="s">
        <v>10</v>
      </c>
      <c r="H78" s="51">
        <v>4</v>
      </c>
      <c r="I78" s="51">
        <v>249.99</v>
      </c>
      <c r="J78" s="51" t="s">
        <v>73</v>
      </c>
      <c r="K78" s="51" t="s">
        <v>7</v>
      </c>
      <c r="L78" s="51" t="s">
        <v>57</v>
      </c>
      <c r="M78" s="53">
        <v>45127</v>
      </c>
      <c r="N78" s="51">
        <v>999.96</v>
      </c>
      <c r="O78" s="51">
        <f>MONTH(Table1[[#This Row],[Date]])</f>
        <v>7</v>
      </c>
      <c r="P78" s="51">
        <f>YEAR(Table1[[#This Row],[Date]])</f>
        <v>2024</v>
      </c>
      <c r="R78" s="51"/>
      <c r="S78" s="52"/>
      <c r="T78" s="52"/>
      <c r="U78" s="51"/>
      <c r="V78" s="51"/>
      <c r="W78" s="51"/>
      <c r="X78" s="10"/>
      <c r="Y78" s="10"/>
      <c r="Z78" s="10"/>
      <c r="AA78" s="10"/>
      <c r="AB78" s="10"/>
      <c r="AC78" s="10"/>
      <c r="AD78" s="57"/>
      <c r="AE78" s="10"/>
      <c r="AF78" s="10"/>
      <c r="AG78" s="10"/>
    </row>
    <row r="79" customHeight="1" spans="1:33">
      <c r="A79" s="51" t="s">
        <v>213</v>
      </c>
      <c r="B79" s="52">
        <v>45500</v>
      </c>
      <c r="C79" s="51" t="s">
        <v>109</v>
      </c>
      <c r="D79" s="51" t="s">
        <v>110</v>
      </c>
      <c r="E79" s="51" t="s">
        <v>44</v>
      </c>
      <c r="F79" s="51" t="s">
        <v>24</v>
      </c>
      <c r="G79" s="51" t="s">
        <v>10</v>
      </c>
      <c r="H79" s="51">
        <v>2</v>
      </c>
      <c r="I79" s="51">
        <v>249.99</v>
      </c>
      <c r="J79" s="51" t="s">
        <v>45</v>
      </c>
      <c r="K79" s="51" t="s">
        <v>11</v>
      </c>
      <c r="L79" s="51" t="s">
        <v>51</v>
      </c>
      <c r="M79" s="53">
        <v>45164</v>
      </c>
      <c r="N79" s="51">
        <v>499.98</v>
      </c>
      <c r="O79" s="51">
        <f>MONTH(Table1[[#This Row],[Date]])</f>
        <v>7</v>
      </c>
      <c r="P79" s="51">
        <f>YEAR(Table1[[#This Row],[Date]])</f>
        <v>2024</v>
      </c>
      <c r="R79" s="51"/>
      <c r="S79" s="52"/>
      <c r="T79" s="52"/>
      <c r="U79" s="51"/>
      <c r="V79" s="51"/>
      <c r="W79" s="51"/>
      <c r="X79" s="10"/>
      <c r="Y79" s="10"/>
      <c r="Z79" s="10"/>
      <c r="AA79" s="10"/>
      <c r="AB79" s="10"/>
      <c r="AC79" s="10"/>
      <c r="AD79" s="57"/>
      <c r="AE79" s="10"/>
      <c r="AF79" s="10"/>
      <c r="AG79" s="10"/>
    </row>
    <row r="80" customHeight="1" spans="1:33">
      <c r="A80" s="51" t="s">
        <v>214</v>
      </c>
      <c r="B80" s="52">
        <v>45500</v>
      </c>
      <c r="C80" s="51" t="s">
        <v>156</v>
      </c>
      <c r="D80" s="51" t="s">
        <v>157</v>
      </c>
      <c r="E80" s="51" t="s">
        <v>118</v>
      </c>
      <c r="F80" s="51" t="s">
        <v>20</v>
      </c>
      <c r="G80" s="51" t="s">
        <v>12</v>
      </c>
      <c r="H80" s="51">
        <v>1</v>
      </c>
      <c r="I80" s="51">
        <v>299.99</v>
      </c>
      <c r="J80" s="51" t="s">
        <v>45</v>
      </c>
      <c r="K80" s="51" t="s">
        <v>13</v>
      </c>
      <c r="L80" s="51" t="s">
        <v>46</v>
      </c>
      <c r="M80" s="53">
        <v>44982</v>
      </c>
      <c r="N80" s="51">
        <v>299.99</v>
      </c>
      <c r="O80" s="51">
        <f>MONTH(Table1[[#This Row],[Date]])</f>
        <v>7</v>
      </c>
      <c r="P80" s="51">
        <f>YEAR(Table1[[#This Row],[Date]])</f>
        <v>2024</v>
      </c>
      <c r="R80" s="51"/>
      <c r="S80" s="52"/>
      <c r="T80" s="52"/>
      <c r="U80" s="51"/>
      <c r="V80" s="51"/>
      <c r="W80" s="51"/>
      <c r="X80" s="10"/>
      <c r="Y80" s="10"/>
      <c r="Z80" s="10"/>
      <c r="AA80" s="10"/>
      <c r="AB80" s="10"/>
      <c r="AC80" s="10"/>
      <c r="AD80" s="57"/>
      <c r="AE80" s="10"/>
      <c r="AF80" s="10"/>
      <c r="AG80" s="10"/>
    </row>
    <row r="81" customHeight="1" spans="1:33">
      <c r="A81" s="51" t="s">
        <v>215</v>
      </c>
      <c r="B81" s="52">
        <v>45501</v>
      </c>
      <c r="C81" s="51" t="s">
        <v>99</v>
      </c>
      <c r="D81" s="51" t="s">
        <v>100</v>
      </c>
      <c r="E81" s="51" t="s">
        <v>128</v>
      </c>
      <c r="F81" s="51" t="s">
        <v>22</v>
      </c>
      <c r="G81" s="51" t="s">
        <v>10</v>
      </c>
      <c r="H81" s="51">
        <v>2</v>
      </c>
      <c r="I81" s="51">
        <v>89.99</v>
      </c>
      <c r="J81" s="51" t="s">
        <v>56</v>
      </c>
      <c r="K81" s="51" t="s">
        <v>13</v>
      </c>
      <c r="L81" s="51" t="s">
        <v>46</v>
      </c>
      <c r="M81" s="53">
        <v>44976</v>
      </c>
      <c r="N81" s="51">
        <v>179.98</v>
      </c>
      <c r="O81" s="51">
        <f>MONTH(Table1[[#This Row],[Date]])</f>
        <v>7</v>
      </c>
      <c r="P81" s="51">
        <f>YEAR(Table1[[#This Row],[Date]])</f>
        <v>2024</v>
      </c>
      <c r="R81" s="51"/>
      <c r="S81" s="52"/>
      <c r="T81" s="52"/>
      <c r="U81" s="51"/>
      <c r="V81" s="51"/>
      <c r="W81" s="51"/>
      <c r="X81" s="10"/>
      <c r="Y81" s="10"/>
      <c r="Z81" s="10"/>
      <c r="AA81" s="10"/>
      <c r="AB81" s="10"/>
      <c r="AC81" s="10"/>
      <c r="AD81" s="57"/>
      <c r="AE81" s="10"/>
      <c r="AF81" s="10"/>
      <c r="AG81" s="10"/>
    </row>
    <row r="82" customHeight="1" spans="1:33">
      <c r="A82" s="51" t="s">
        <v>216</v>
      </c>
      <c r="B82" s="52">
        <v>45501</v>
      </c>
      <c r="C82" s="51" t="s">
        <v>156</v>
      </c>
      <c r="D82" s="51" t="s">
        <v>157</v>
      </c>
      <c r="E82" s="51" t="s">
        <v>118</v>
      </c>
      <c r="F82" s="51" t="s">
        <v>20</v>
      </c>
      <c r="G82" s="51" t="s">
        <v>12</v>
      </c>
      <c r="H82" s="51">
        <v>3</v>
      </c>
      <c r="I82" s="51">
        <v>299.99</v>
      </c>
      <c r="J82" s="51" t="s">
        <v>45</v>
      </c>
      <c r="K82" s="51" t="s">
        <v>7</v>
      </c>
      <c r="L82" s="51" t="s">
        <v>46</v>
      </c>
      <c r="M82" s="53">
        <v>44732</v>
      </c>
      <c r="N82" s="51">
        <v>899.97</v>
      </c>
      <c r="O82" s="51">
        <f>MONTH(Table1[[#This Row],[Date]])</f>
        <v>7</v>
      </c>
      <c r="P82" s="51">
        <f>YEAR(Table1[[#This Row],[Date]])</f>
        <v>2024</v>
      </c>
      <c r="R82" s="51"/>
      <c r="S82" s="52"/>
      <c r="T82" s="52"/>
      <c r="U82" s="51"/>
      <c r="V82" s="51"/>
      <c r="W82" s="51"/>
      <c r="X82" s="10"/>
      <c r="Y82" s="10"/>
      <c r="Z82" s="10"/>
      <c r="AA82" s="10"/>
      <c r="AB82" s="10"/>
      <c r="AC82" s="10"/>
      <c r="AD82" s="57"/>
      <c r="AE82" s="10"/>
      <c r="AF82" s="10"/>
      <c r="AG82" s="10"/>
    </row>
    <row r="83" customHeight="1" spans="1:33">
      <c r="A83" s="51" t="s">
        <v>217</v>
      </c>
      <c r="B83" s="52">
        <v>45503</v>
      </c>
      <c r="C83" s="51" t="s">
        <v>99</v>
      </c>
      <c r="D83" s="51" t="s">
        <v>100</v>
      </c>
      <c r="E83" s="51" t="s">
        <v>94</v>
      </c>
      <c r="F83" s="51" t="s">
        <v>26</v>
      </c>
      <c r="G83" s="51" t="s">
        <v>10</v>
      </c>
      <c r="H83" s="51">
        <v>2</v>
      </c>
      <c r="I83" s="51">
        <v>699.99</v>
      </c>
      <c r="J83" s="51" t="s">
        <v>50</v>
      </c>
      <c r="K83" s="51" t="s">
        <v>11</v>
      </c>
      <c r="L83" s="51" t="s">
        <v>51</v>
      </c>
      <c r="M83" s="53">
        <v>44999</v>
      </c>
      <c r="N83" s="51">
        <v>1399.98</v>
      </c>
      <c r="O83" s="51">
        <f>MONTH(Table1[[#This Row],[Date]])</f>
        <v>7</v>
      </c>
      <c r="P83" s="51">
        <f>YEAR(Table1[[#This Row],[Date]])</f>
        <v>2024</v>
      </c>
      <c r="R83" s="51"/>
      <c r="S83" s="52"/>
      <c r="T83" s="52"/>
      <c r="U83" s="51"/>
      <c r="V83" s="51"/>
      <c r="W83" s="51"/>
      <c r="X83" s="10"/>
      <c r="Y83" s="10"/>
      <c r="Z83" s="10"/>
      <c r="AA83" s="10"/>
      <c r="AB83" s="10"/>
      <c r="AC83" s="10"/>
      <c r="AD83" s="57"/>
      <c r="AE83" s="10"/>
      <c r="AF83" s="10"/>
      <c r="AG83" s="10"/>
    </row>
    <row r="84" customHeight="1" spans="1:33">
      <c r="A84" s="51" t="s">
        <v>218</v>
      </c>
      <c r="B84" s="52">
        <v>45504</v>
      </c>
      <c r="C84" s="51" t="s">
        <v>130</v>
      </c>
      <c r="D84" s="51" t="s">
        <v>131</v>
      </c>
      <c r="E84" s="51" t="s">
        <v>77</v>
      </c>
      <c r="F84" s="51" t="s">
        <v>23</v>
      </c>
      <c r="G84" s="51" t="s">
        <v>10</v>
      </c>
      <c r="H84" s="51">
        <v>4</v>
      </c>
      <c r="I84" s="51">
        <v>899.99</v>
      </c>
      <c r="J84" s="51" t="s">
        <v>73</v>
      </c>
      <c r="K84" s="51" t="s">
        <v>13</v>
      </c>
      <c r="L84" s="51" t="s">
        <v>57</v>
      </c>
      <c r="M84" s="53">
        <v>44523</v>
      </c>
      <c r="N84" s="51">
        <v>3599.96</v>
      </c>
      <c r="O84" s="51">
        <f>MONTH(Table1[[#This Row],[Date]])</f>
        <v>7</v>
      </c>
      <c r="P84" s="51">
        <f>YEAR(Table1[[#This Row],[Date]])</f>
        <v>2024</v>
      </c>
      <c r="R84" s="51"/>
      <c r="S84" s="52"/>
      <c r="T84" s="52"/>
      <c r="U84" s="51"/>
      <c r="V84" s="51"/>
      <c r="W84" s="51"/>
      <c r="X84" s="10"/>
      <c r="Y84" s="10"/>
      <c r="Z84" s="10"/>
      <c r="AA84" s="10"/>
      <c r="AB84" s="10"/>
      <c r="AC84" s="10"/>
      <c r="AD84" s="57"/>
      <c r="AE84" s="10"/>
      <c r="AF84" s="10"/>
      <c r="AG84" s="10"/>
    </row>
    <row r="85" customHeight="1" spans="1:33">
      <c r="A85" s="51" t="s">
        <v>219</v>
      </c>
      <c r="B85" s="52">
        <v>45509</v>
      </c>
      <c r="C85" s="51" t="s">
        <v>220</v>
      </c>
      <c r="D85" s="51" t="s">
        <v>221</v>
      </c>
      <c r="E85" s="51" t="s">
        <v>64</v>
      </c>
      <c r="F85" s="51" t="s">
        <v>18</v>
      </c>
      <c r="G85" s="51" t="s">
        <v>12</v>
      </c>
      <c r="H85" s="51">
        <v>2</v>
      </c>
      <c r="I85" s="51">
        <v>149.99</v>
      </c>
      <c r="J85" s="51" t="s">
        <v>50</v>
      </c>
      <c r="K85" s="51" t="s">
        <v>15</v>
      </c>
      <c r="L85" s="51" t="s">
        <v>46</v>
      </c>
      <c r="M85" s="53">
        <v>44542</v>
      </c>
      <c r="N85" s="51">
        <v>299.98</v>
      </c>
      <c r="O85" s="51">
        <f>MONTH(Table1[[#This Row],[Date]])</f>
        <v>8</v>
      </c>
      <c r="P85" s="51">
        <f>YEAR(Table1[[#This Row],[Date]])</f>
        <v>2024</v>
      </c>
      <c r="R85" s="51"/>
      <c r="S85" s="52"/>
      <c r="T85" s="52"/>
      <c r="U85" s="51"/>
      <c r="V85" s="51"/>
      <c r="W85" s="51"/>
      <c r="X85" s="10"/>
      <c r="Y85" s="10"/>
      <c r="Z85" s="10"/>
      <c r="AA85" s="10"/>
      <c r="AB85" s="10"/>
      <c r="AC85" s="10"/>
      <c r="AD85" s="57"/>
      <c r="AE85" s="10"/>
      <c r="AF85" s="10"/>
      <c r="AG85" s="10"/>
    </row>
    <row r="86" customHeight="1" spans="1:33">
      <c r="A86" s="51" t="s">
        <v>222</v>
      </c>
      <c r="B86" s="52">
        <v>45510</v>
      </c>
      <c r="C86" s="51" t="s">
        <v>115</v>
      </c>
      <c r="D86" s="51" t="s">
        <v>116</v>
      </c>
      <c r="E86" s="51" t="s">
        <v>64</v>
      </c>
      <c r="F86" s="51" t="s">
        <v>18</v>
      </c>
      <c r="G86" s="51" t="s">
        <v>12</v>
      </c>
      <c r="H86" s="51">
        <v>2</v>
      </c>
      <c r="I86" s="51">
        <v>149.99</v>
      </c>
      <c r="J86" s="51" t="s">
        <v>73</v>
      </c>
      <c r="K86" s="51" t="s">
        <v>9</v>
      </c>
      <c r="L86" s="51" t="s">
        <v>57</v>
      </c>
      <c r="M86" s="53">
        <v>44667</v>
      </c>
      <c r="N86" s="51">
        <v>299.98</v>
      </c>
      <c r="O86" s="51">
        <f>MONTH(Table1[[#This Row],[Date]])</f>
        <v>8</v>
      </c>
      <c r="P86" s="51">
        <f>YEAR(Table1[[#This Row],[Date]])</f>
        <v>2024</v>
      </c>
      <c r="R86" s="51"/>
      <c r="S86" s="52"/>
      <c r="T86" s="52"/>
      <c r="U86" s="51"/>
      <c r="V86" s="51"/>
      <c r="W86" s="51"/>
      <c r="X86" s="10"/>
      <c r="Y86" s="10"/>
      <c r="Z86" s="10"/>
      <c r="AA86" s="10"/>
      <c r="AB86" s="10"/>
      <c r="AC86" s="10"/>
      <c r="AD86" s="57"/>
      <c r="AE86" s="10"/>
      <c r="AF86" s="10"/>
      <c r="AG86" s="10"/>
    </row>
    <row r="87" customHeight="1" spans="1:33">
      <c r="A87" s="51" t="s">
        <v>223</v>
      </c>
      <c r="B87" s="52">
        <v>45513</v>
      </c>
      <c r="C87" s="51" t="s">
        <v>102</v>
      </c>
      <c r="D87" s="51" t="s">
        <v>103</v>
      </c>
      <c r="E87" s="51" t="s">
        <v>128</v>
      </c>
      <c r="F87" s="51" t="s">
        <v>22</v>
      </c>
      <c r="G87" s="51" t="s">
        <v>10</v>
      </c>
      <c r="H87" s="51">
        <v>1</v>
      </c>
      <c r="I87" s="51">
        <v>89.99</v>
      </c>
      <c r="J87" s="51" t="s">
        <v>50</v>
      </c>
      <c r="K87" s="51" t="s">
        <v>11</v>
      </c>
      <c r="L87" s="51" t="s">
        <v>57</v>
      </c>
      <c r="M87" s="53">
        <v>45393</v>
      </c>
      <c r="N87" s="51">
        <v>89.99</v>
      </c>
      <c r="O87" s="51">
        <f>MONTH(Table1[[#This Row],[Date]])</f>
        <v>8</v>
      </c>
      <c r="P87" s="51">
        <f>YEAR(Table1[[#This Row],[Date]])</f>
        <v>2024</v>
      </c>
      <c r="R87" s="51"/>
      <c r="S87" s="52"/>
      <c r="T87" s="52"/>
      <c r="U87" s="51"/>
      <c r="V87" s="51"/>
      <c r="W87" s="51"/>
      <c r="X87" s="10"/>
      <c r="Y87" s="10"/>
      <c r="Z87" s="10"/>
      <c r="AA87" s="10"/>
      <c r="AB87" s="10"/>
      <c r="AC87" s="10"/>
      <c r="AD87" s="57"/>
      <c r="AE87" s="10"/>
      <c r="AF87" s="10"/>
      <c r="AG87" s="10"/>
    </row>
    <row r="88" customHeight="1" spans="1:33">
      <c r="A88" s="51" t="s">
        <v>224</v>
      </c>
      <c r="B88" s="52">
        <v>45515</v>
      </c>
      <c r="C88" s="51" t="s">
        <v>99</v>
      </c>
      <c r="D88" s="51" t="s">
        <v>100</v>
      </c>
      <c r="E88" s="51" t="s">
        <v>118</v>
      </c>
      <c r="F88" s="51" t="s">
        <v>20</v>
      </c>
      <c r="G88" s="51" t="s">
        <v>12</v>
      </c>
      <c r="H88" s="51">
        <v>5</v>
      </c>
      <c r="I88" s="51">
        <v>299.99</v>
      </c>
      <c r="J88" s="51" t="s">
        <v>50</v>
      </c>
      <c r="K88" s="51" t="s">
        <v>11</v>
      </c>
      <c r="L88" s="51" t="s">
        <v>46</v>
      </c>
      <c r="M88" s="53">
        <v>44965</v>
      </c>
      <c r="N88" s="51">
        <v>1499.95</v>
      </c>
      <c r="O88" s="51">
        <f>MONTH(Table1[[#This Row],[Date]])</f>
        <v>8</v>
      </c>
      <c r="P88" s="51">
        <f>YEAR(Table1[[#This Row],[Date]])</f>
        <v>2024</v>
      </c>
      <c r="R88" s="51"/>
      <c r="S88" s="52"/>
      <c r="T88" s="52"/>
      <c r="U88" s="51"/>
      <c r="V88" s="51"/>
      <c r="W88" s="51"/>
      <c r="X88" s="10"/>
      <c r="Y88" s="10"/>
      <c r="Z88" s="10"/>
      <c r="AA88" s="10"/>
      <c r="AB88" s="10"/>
      <c r="AC88" s="10"/>
      <c r="AD88" s="57"/>
      <c r="AE88" s="10"/>
      <c r="AF88" s="10"/>
      <c r="AG88" s="10"/>
    </row>
    <row r="89" customHeight="1" spans="1:33">
      <c r="A89" s="51" t="s">
        <v>225</v>
      </c>
      <c r="B89" s="52">
        <v>45517</v>
      </c>
      <c r="C89" s="51" t="s">
        <v>191</v>
      </c>
      <c r="D89" s="51" t="s">
        <v>192</v>
      </c>
      <c r="E89" s="51" t="s">
        <v>69</v>
      </c>
      <c r="F89" s="51" t="s">
        <v>21</v>
      </c>
      <c r="G89" s="51" t="s">
        <v>10</v>
      </c>
      <c r="H89" s="51">
        <v>4</v>
      </c>
      <c r="I89" s="51">
        <v>149.99</v>
      </c>
      <c r="J89" s="51" t="s">
        <v>73</v>
      </c>
      <c r="K89" s="51" t="s">
        <v>13</v>
      </c>
      <c r="L89" s="51" t="s">
        <v>51</v>
      </c>
      <c r="M89" s="53">
        <v>44820</v>
      </c>
      <c r="N89" s="51">
        <v>599.96</v>
      </c>
      <c r="O89" s="51">
        <f>MONTH(Table1[[#This Row],[Date]])</f>
        <v>8</v>
      </c>
      <c r="P89" s="51">
        <f>YEAR(Table1[[#This Row],[Date]])</f>
        <v>2024</v>
      </c>
      <c r="R89" s="51"/>
      <c r="S89" s="52"/>
      <c r="T89" s="52"/>
      <c r="U89" s="51"/>
      <c r="V89" s="51"/>
      <c r="W89" s="51"/>
      <c r="X89" s="10"/>
      <c r="Y89" s="10"/>
      <c r="Z89" s="10"/>
      <c r="AA89" s="10"/>
      <c r="AB89" s="10"/>
      <c r="AC89" s="10"/>
      <c r="AD89" s="57"/>
      <c r="AE89" s="10"/>
      <c r="AF89" s="10"/>
      <c r="AG89" s="10"/>
    </row>
    <row r="90" customHeight="1" spans="1:33">
      <c r="A90" s="51" t="s">
        <v>226</v>
      </c>
      <c r="B90" s="52">
        <v>45517</v>
      </c>
      <c r="C90" s="51" t="s">
        <v>194</v>
      </c>
      <c r="D90" s="51" t="s">
        <v>195</v>
      </c>
      <c r="E90" s="51" t="s">
        <v>44</v>
      </c>
      <c r="F90" s="51" t="s">
        <v>24</v>
      </c>
      <c r="G90" s="51" t="s">
        <v>10</v>
      </c>
      <c r="H90" s="51">
        <v>5</v>
      </c>
      <c r="I90" s="51">
        <v>249.99</v>
      </c>
      <c r="J90" s="51" t="s">
        <v>56</v>
      </c>
      <c r="K90" s="51" t="s">
        <v>9</v>
      </c>
      <c r="L90" s="51" t="s">
        <v>51</v>
      </c>
      <c r="M90" s="53">
        <v>44782</v>
      </c>
      <c r="N90" s="51">
        <v>1249.95</v>
      </c>
      <c r="O90" s="51">
        <f>MONTH(Table1[[#This Row],[Date]])</f>
        <v>8</v>
      </c>
      <c r="P90" s="51">
        <f>YEAR(Table1[[#This Row],[Date]])</f>
        <v>2024</v>
      </c>
      <c r="R90" s="51"/>
      <c r="S90" s="52"/>
      <c r="T90" s="52"/>
      <c r="U90" s="51"/>
      <c r="V90" s="51"/>
      <c r="W90" s="51"/>
      <c r="X90" s="10"/>
      <c r="Y90" s="10"/>
      <c r="Z90" s="10"/>
      <c r="AA90" s="10"/>
      <c r="AB90" s="10"/>
      <c r="AC90" s="10"/>
      <c r="AD90" s="57"/>
      <c r="AE90" s="10"/>
      <c r="AF90" s="10"/>
      <c r="AG90" s="10"/>
    </row>
    <row r="91" customHeight="1" spans="1:33">
      <c r="A91" s="51" t="s">
        <v>227</v>
      </c>
      <c r="B91" s="52">
        <v>45517</v>
      </c>
      <c r="C91" s="51" t="s">
        <v>79</v>
      </c>
      <c r="D91" s="51" t="s">
        <v>80</v>
      </c>
      <c r="E91" s="51" t="s">
        <v>44</v>
      </c>
      <c r="F91" s="51" t="s">
        <v>24</v>
      </c>
      <c r="G91" s="51" t="s">
        <v>10</v>
      </c>
      <c r="H91" s="51">
        <v>3</v>
      </c>
      <c r="I91" s="51">
        <v>249.99</v>
      </c>
      <c r="J91" s="51" t="s">
        <v>56</v>
      </c>
      <c r="K91" s="51" t="s">
        <v>11</v>
      </c>
      <c r="L91" s="51" t="s">
        <v>51</v>
      </c>
      <c r="M91" s="53">
        <v>44465</v>
      </c>
      <c r="N91" s="51">
        <v>749.97</v>
      </c>
      <c r="O91" s="51">
        <f>MONTH(Table1[[#This Row],[Date]])</f>
        <v>8</v>
      </c>
      <c r="P91" s="51">
        <f>YEAR(Table1[[#This Row],[Date]])</f>
        <v>2024</v>
      </c>
      <c r="R91" s="51"/>
      <c r="S91" s="52"/>
      <c r="T91" s="52"/>
      <c r="U91" s="51"/>
      <c r="V91" s="51"/>
      <c r="W91" s="51"/>
      <c r="X91" s="10"/>
      <c r="Y91" s="10"/>
      <c r="Z91" s="10"/>
      <c r="AA91" s="10"/>
      <c r="AB91" s="10"/>
      <c r="AC91" s="10"/>
      <c r="AD91" s="57"/>
      <c r="AE91" s="10"/>
      <c r="AF91" s="10"/>
      <c r="AG91" s="10"/>
    </row>
    <row r="92" customHeight="1" spans="1:33">
      <c r="A92" s="51" t="s">
        <v>228</v>
      </c>
      <c r="B92" s="52">
        <v>45517</v>
      </c>
      <c r="C92" s="51" t="s">
        <v>59</v>
      </c>
      <c r="D92" s="51" t="s">
        <v>60</v>
      </c>
      <c r="E92" s="51" t="s">
        <v>136</v>
      </c>
      <c r="F92" s="51" t="s">
        <v>25</v>
      </c>
      <c r="G92" s="51" t="s">
        <v>12</v>
      </c>
      <c r="H92" s="51">
        <v>4</v>
      </c>
      <c r="I92" s="51">
        <v>199.99</v>
      </c>
      <c r="J92" s="51" t="s">
        <v>45</v>
      </c>
      <c r="K92" s="51" t="s">
        <v>11</v>
      </c>
      <c r="L92" s="51" t="s">
        <v>57</v>
      </c>
      <c r="M92" s="53">
        <v>44458</v>
      </c>
      <c r="N92" s="51">
        <v>799.96</v>
      </c>
      <c r="O92" s="51">
        <f>MONTH(Table1[[#This Row],[Date]])</f>
        <v>8</v>
      </c>
      <c r="P92" s="51">
        <f>YEAR(Table1[[#This Row],[Date]])</f>
        <v>2024</v>
      </c>
      <c r="R92" s="51"/>
      <c r="S92" s="52"/>
      <c r="T92" s="52"/>
      <c r="U92" s="51"/>
      <c r="V92" s="51"/>
      <c r="W92" s="51"/>
      <c r="X92" s="10"/>
      <c r="Y92" s="10"/>
      <c r="Z92" s="10"/>
      <c r="AA92" s="10"/>
      <c r="AB92" s="10"/>
      <c r="AC92" s="10"/>
      <c r="AD92" s="57"/>
      <c r="AE92" s="10"/>
      <c r="AF92" s="10"/>
      <c r="AG92" s="10"/>
    </row>
    <row r="93" customHeight="1" spans="1:33">
      <c r="A93" s="51" t="s">
        <v>229</v>
      </c>
      <c r="B93" s="52">
        <v>45519</v>
      </c>
      <c r="C93" s="51" t="s">
        <v>167</v>
      </c>
      <c r="D93" s="51" t="s">
        <v>168</v>
      </c>
      <c r="E93" s="51" t="s">
        <v>136</v>
      </c>
      <c r="F93" s="51" t="s">
        <v>25</v>
      </c>
      <c r="G93" s="51" t="s">
        <v>12</v>
      </c>
      <c r="H93" s="51">
        <v>5</v>
      </c>
      <c r="I93" s="51">
        <v>199.99</v>
      </c>
      <c r="J93" s="51" t="s">
        <v>45</v>
      </c>
      <c r="K93" s="51" t="s">
        <v>11</v>
      </c>
      <c r="L93" s="51" t="s">
        <v>51</v>
      </c>
      <c r="M93" s="53">
        <v>44991</v>
      </c>
      <c r="N93" s="51">
        <v>999.95</v>
      </c>
      <c r="O93" s="51">
        <f>MONTH(Table1[[#This Row],[Date]])</f>
        <v>8</v>
      </c>
      <c r="P93" s="51">
        <f>YEAR(Table1[[#This Row],[Date]])</f>
        <v>2024</v>
      </c>
      <c r="R93" s="51"/>
      <c r="S93" s="52"/>
      <c r="T93" s="52"/>
      <c r="U93" s="51"/>
      <c r="V93" s="51"/>
      <c r="W93" s="51"/>
      <c r="X93" s="10"/>
      <c r="Y93" s="10"/>
      <c r="Z93" s="10"/>
      <c r="AA93" s="10"/>
      <c r="AB93" s="10"/>
      <c r="AC93" s="10"/>
      <c r="AD93" s="57"/>
      <c r="AE93" s="10"/>
      <c r="AF93" s="10"/>
      <c r="AG93" s="10"/>
    </row>
    <row r="94" customHeight="1" spans="1:33">
      <c r="A94" s="51" t="s">
        <v>230</v>
      </c>
      <c r="B94" s="52">
        <v>45522</v>
      </c>
      <c r="C94" s="51" t="s">
        <v>99</v>
      </c>
      <c r="D94" s="51" t="s">
        <v>100</v>
      </c>
      <c r="E94" s="51" t="s">
        <v>128</v>
      </c>
      <c r="F94" s="51" t="s">
        <v>22</v>
      </c>
      <c r="G94" s="51" t="s">
        <v>10</v>
      </c>
      <c r="H94" s="51">
        <v>2</v>
      </c>
      <c r="I94" s="51">
        <v>89.99</v>
      </c>
      <c r="J94" s="51" t="s">
        <v>45</v>
      </c>
      <c r="K94" s="51" t="s">
        <v>9</v>
      </c>
      <c r="L94" s="51" t="s">
        <v>51</v>
      </c>
      <c r="M94" s="53">
        <v>44972</v>
      </c>
      <c r="N94" s="51">
        <v>179.98</v>
      </c>
      <c r="O94" s="51">
        <f>MONTH(Table1[[#This Row],[Date]])</f>
        <v>8</v>
      </c>
      <c r="P94" s="51">
        <f>YEAR(Table1[[#This Row],[Date]])</f>
        <v>2024</v>
      </c>
      <c r="R94" s="51"/>
      <c r="S94" s="52"/>
      <c r="T94" s="52"/>
      <c r="U94" s="51"/>
      <c r="V94" s="51"/>
      <c r="W94" s="51"/>
      <c r="X94" s="10"/>
      <c r="Y94" s="10"/>
      <c r="Z94" s="10"/>
      <c r="AA94" s="10"/>
      <c r="AB94" s="10"/>
      <c r="AC94" s="10"/>
      <c r="AD94" s="57"/>
      <c r="AE94" s="10"/>
      <c r="AF94" s="10"/>
      <c r="AG94" s="10"/>
    </row>
    <row r="95" customHeight="1" spans="1:33">
      <c r="A95" s="51" t="s">
        <v>231</v>
      </c>
      <c r="B95" s="52">
        <v>45523</v>
      </c>
      <c r="C95" s="51" t="s">
        <v>205</v>
      </c>
      <c r="D95" s="51" t="s">
        <v>206</v>
      </c>
      <c r="E95" s="51" t="s">
        <v>77</v>
      </c>
      <c r="F95" s="51" t="s">
        <v>23</v>
      </c>
      <c r="G95" s="51" t="s">
        <v>10</v>
      </c>
      <c r="H95" s="51">
        <v>5</v>
      </c>
      <c r="I95" s="51">
        <v>899.99</v>
      </c>
      <c r="J95" s="51" t="s">
        <v>73</v>
      </c>
      <c r="K95" s="51" t="s">
        <v>9</v>
      </c>
      <c r="L95" s="51" t="s">
        <v>46</v>
      </c>
      <c r="M95" s="53">
        <v>44526</v>
      </c>
      <c r="N95" s="51">
        <v>4499.95</v>
      </c>
      <c r="O95" s="51">
        <f>MONTH(Table1[[#This Row],[Date]])</f>
        <v>8</v>
      </c>
      <c r="P95" s="51">
        <f>YEAR(Table1[[#This Row],[Date]])</f>
        <v>2024</v>
      </c>
      <c r="R95" s="51"/>
      <c r="S95" s="52"/>
      <c r="T95" s="52"/>
      <c r="U95" s="51"/>
      <c r="V95" s="51"/>
      <c r="W95" s="51"/>
      <c r="X95" s="10"/>
      <c r="Y95" s="10"/>
      <c r="Z95" s="10"/>
      <c r="AA95" s="10"/>
      <c r="AB95" s="10"/>
      <c r="AC95" s="10"/>
      <c r="AD95" s="57"/>
      <c r="AE95" s="10"/>
      <c r="AF95" s="10"/>
      <c r="AG95" s="10"/>
    </row>
    <row r="96" customHeight="1" spans="1:33">
      <c r="A96" s="51" t="s">
        <v>232</v>
      </c>
      <c r="B96" s="52">
        <v>45523</v>
      </c>
      <c r="C96" s="51" t="s">
        <v>120</v>
      </c>
      <c r="D96" s="51" t="s">
        <v>121</v>
      </c>
      <c r="E96" s="51" t="s">
        <v>69</v>
      </c>
      <c r="F96" s="51" t="s">
        <v>21</v>
      </c>
      <c r="G96" s="51" t="s">
        <v>10</v>
      </c>
      <c r="H96" s="51">
        <v>3</v>
      </c>
      <c r="I96" s="51">
        <v>149.99</v>
      </c>
      <c r="J96" s="51" t="s">
        <v>56</v>
      </c>
      <c r="K96" s="51" t="s">
        <v>9</v>
      </c>
      <c r="L96" s="51" t="s">
        <v>46</v>
      </c>
      <c r="M96" s="53">
        <v>44574</v>
      </c>
      <c r="N96" s="51">
        <v>449.97</v>
      </c>
      <c r="O96" s="51">
        <f>MONTH(Table1[[#This Row],[Date]])</f>
        <v>8</v>
      </c>
      <c r="P96" s="51">
        <f>YEAR(Table1[[#This Row],[Date]])</f>
        <v>2024</v>
      </c>
      <c r="R96" s="51"/>
      <c r="S96" s="52"/>
      <c r="T96" s="52"/>
      <c r="U96" s="51"/>
      <c r="V96" s="51"/>
      <c r="W96" s="51"/>
      <c r="X96" s="10"/>
      <c r="Y96" s="10"/>
      <c r="Z96" s="10"/>
      <c r="AA96" s="10"/>
      <c r="AB96" s="10"/>
      <c r="AC96" s="10"/>
      <c r="AD96" s="57"/>
      <c r="AE96" s="10"/>
      <c r="AF96" s="10"/>
      <c r="AG96" s="10"/>
    </row>
    <row r="97" customHeight="1" spans="1:33">
      <c r="A97" s="51" t="s">
        <v>233</v>
      </c>
      <c r="B97" s="52">
        <v>45526</v>
      </c>
      <c r="C97" s="51" t="s">
        <v>115</v>
      </c>
      <c r="D97" s="51" t="s">
        <v>116</v>
      </c>
      <c r="E97" s="51" t="s">
        <v>64</v>
      </c>
      <c r="F97" s="51" t="s">
        <v>18</v>
      </c>
      <c r="G97" s="51" t="s">
        <v>12</v>
      </c>
      <c r="H97" s="51">
        <v>5</v>
      </c>
      <c r="I97" s="51">
        <v>149.99</v>
      </c>
      <c r="J97" s="51" t="s">
        <v>50</v>
      </c>
      <c r="K97" s="51" t="s">
        <v>7</v>
      </c>
      <c r="L97" s="51" t="s">
        <v>46</v>
      </c>
      <c r="M97" s="53">
        <v>45310</v>
      </c>
      <c r="N97" s="51">
        <v>749.95</v>
      </c>
      <c r="O97" s="51">
        <f>MONTH(Table1[[#This Row],[Date]])</f>
        <v>8</v>
      </c>
      <c r="P97" s="51">
        <f>YEAR(Table1[[#This Row],[Date]])</f>
        <v>2024</v>
      </c>
      <c r="R97" s="51"/>
      <c r="S97" s="52"/>
      <c r="T97" s="52"/>
      <c r="U97" s="51"/>
      <c r="V97" s="51"/>
      <c r="W97" s="51"/>
      <c r="X97" s="10"/>
      <c r="Y97" s="10"/>
      <c r="Z97" s="10"/>
      <c r="AA97" s="10"/>
      <c r="AB97" s="10"/>
      <c r="AC97" s="10"/>
      <c r="AD97" s="57"/>
      <c r="AE97" s="10"/>
      <c r="AF97" s="10"/>
      <c r="AG97" s="10"/>
    </row>
    <row r="98" customHeight="1" spans="1:33">
      <c r="A98" s="51" t="s">
        <v>234</v>
      </c>
      <c r="B98" s="52">
        <v>45528</v>
      </c>
      <c r="C98" s="51" t="s">
        <v>235</v>
      </c>
      <c r="D98" s="51" t="s">
        <v>236</v>
      </c>
      <c r="E98" s="51" t="s">
        <v>126</v>
      </c>
      <c r="F98" s="51" t="s">
        <v>19</v>
      </c>
      <c r="G98" s="51" t="s">
        <v>8</v>
      </c>
      <c r="H98" s="51">
        <v>3</v>
      </c>
      <c r="I98" s="51">
        <v>79.99</v>
      </c>
      <c r="J98" s="51" t="s">
        <v>45</v>
      </c>
      <c r="K98" s="51" t="s">
        <v>7</v>
      </c>
      <c r="L98" s="51" t="s">
        <v>51</v>
      </c>
      <c r="M98" s="53">
        <v>44779</v>
      </c>
      <c r="N98" s="51">
        <v>239.97</v>
      </c>
      <c r="O98" s="51">
        <f>MONTH(Table1[[#This Row],[Date]])</f>
        <v>8</v>
      </c>
      <c r="P98" s="51">
        <f>YEAR(Table1[[#This Row],[Date]])</f>
        <v>2024</v>
      </c>
      <c r="R98" s="51"/>
      <c r="S98" s="52"/>
      <c r="T98" s="52"/>
      <c r="U98" s="51"/>
      <c r="V98" s="51"/>
      <c r="W98" s="51"/>
      <c r="X98" s="10"/>
      <c r="Y98" s="10"/>
      <c r="Z98" s="10"/>
      <c r="AA98" s="10"/>
      <c r="AB98" s="10"/>
      <c r="AC98" s="10"/>
      <c r="AD98" s="57"/>
      <c r="AE98" s="10"/>
      <c r="AF98" s="10"/>
      <c r="AG98" s="10"/>
    </row>
    <row r="99" customHeight="1" spans="1:33">
      <c r="A99" s="51" t="s">
        <v>237</v>
      </c>
      <c r="B99" s="52">
        <v>45528</v>
      </c>
      <c r="C99" s="51" t="s">
        <v>153</v>
      </c>
      <c r="D99" s="51" t="s">
        <v>154</v>
      </c>
      <c r="E99" s="51" t="s">
        <v>44</v>
      </c>
      <c r="F99" s="51" t="s">
        <v>24</v>
      </c>
      <c r="G99" s="51" t="s">
        <v>10</v>
      </c>
      <c r="H99" s="51">
        <v>2</v>
      </c>
      <c r="I99" s="51">
        <v>249.99</v>
      </c>
      <c r="J99" s="51" t="s">
        <v>45</v>
      </c>
      <c r="K99" s="51" t="s">
        <v>13</v>
      </c>
      <c r="L99" s="51" t="s">
        <v>57</v>
      </c>
      <c r="M99" s="53">
        <v>44572</v>
      </c>
      <c r="N99" s="51">
        <v>499.98</v>
      </c>
      <c r="O99" s="51">
        <f>MONTH(Table1[[#This Row],[Date]])</f>
        <v>8</v>
      </c>
      <c r="P99" s="51">
        <f>YEAR(Table1[[#This Row],[Date]])</f>
        <v>2024</v>
      </c>
      <c r="R99" s="51"/>
      <c r="S99" s="52"/>
      <c r="T99" s="52"/>
      <c r="U99" s="51"/>
      <c r="V99" s="51"/>
      <c r="W99" s="51"/>
      <c r="X99" s="10"/>
      <c r="Y99" s="10"/>
      <c r="Z99" s="10"/>
      <c r="AA99" s="10"/>
      <c r="AB99" s="10"/>
      <c r="AC99" s="10"/>
      <c r="AD99" s="57"/>
      <c r="AE99" s="10"/>
      <c r="AF99" s="10"/>
      <c r="AG99" s="10"/>
    </row>
    <row r="100" customHeight="1" spans="1:33">
      <c r="A100" s="51" t="s">
        <v>238</v>
      </c>
      <c r="B100" s="52">
        <v>45532</v>
      </c>
      <c r="C100" s="51" t="s">
        <v>205</v>
      </c>
      <c r="D100" s="51" t="s">
        <v>206</v>
      </c>
      <c r="E100" s="51" t="s">
        <v>94</v>
      </c>
      <c r="F100" s="51" t="s">
        <v>26</v>
      </c>
      <c r="G100" s="51" t="s">
        <v>10</v>
      </c>
      <c r="H100" s="51">
        <v>1</v>
      </c>
      <c r="I100" s="51">
        <v>699.99</v>
      </c>
      <c r="J100" s="51" t="s">
        <v>45</v>
      </c>
      <c r="K100" s="51" t="s">
        <v>7</v>
      </c>
      <c r="L100" s="51" t="s">
        <v>51</v>
      </c>
      <c r="M100" s="53">
        <v>44497</v>
      </c>
      <c r="N100" s="51">
        <v>699.99</v>
      </c>
      <c r="O100" s="51">
        <f>MONTH(Table1[[#This Row],[Date]])</f>
        <v>8</v>
      </c>
      <c r="P100" s="51">
        <f>YEAR(Table1[[#This Row],[Date]])</f>
        <v>2024</v>
      </c>
      <c r="R100" s="51"/>
      <c r="S100" s="52"/>
      <c r="T100" s="52"/>
      <c r="U100" s="51"/>
      <c r="V100" s="51"/>
      <c r="W100" s="51"/>
      <c r="X100" s="10"/>
      <c r="Y100" s="10"/>
      <c r="Z100" s="10"/>
      <c r="AA100" s="10"/>
      <c r="AB100" s="10"/>
      <c r="AC100" s="10"/>
      <c r="AD100" s="57"/>
      <c r="AE100" s="10"/>
      <c r="AF100" s="10"/>
      <c r="AG100" s="10"/>
    </row>
    <row r="101" customHeight="1" spans="1:33">
      <c r="A101" s="51" t="s">
        <v>239</v>
      </c>
      <c r="B101" s="52">
        <v>45532</v>
      </c>
      <c r="C101" s="51" t="s">
        <v>240</v>
      </c>
      <c r="D101" s="51" t="s">
        <v>241</v>
      </c>
      <c r="E101" s="51" t="s">
        <v>69</v>
      </c>
      <c r="F101" s="51" t="s">
        <v>21</v>
      </c>
      <c r="G101" s="51" t="s">
        <v>10</v>
      </c>
      <c r="H101" s="51">
        <v>3</v>
      </c>
      <c r="I101" s="51">
        <v>149.99</v>
      </c>
      <c r="J101" s="51" t="s">
        <v>45</v>
      </c>
      <c r="K101" s="51" t="s">
        <v>15</v>
      </c>
      <c r="L101" s="51" t="s">
        <v>51</v>
      </c>
      <c r="M101" s="53">
        <v>45212</v>
      </c>
      <c r="N101" s="51">
        <v>449.97</v>
      </c>
      <c r="O101" s="51">
        <f>MONTH(Table1[[#This Row],[Date]])</f>
        <v>8</v>
      </c>
      <c r="P101" s="51">
        <f>YEAR(Table1[[#This Row],[Date]])</f>
        <v>2024</v>
      </c>
      <c r="R101" s="51"/>
      <c r="S101" s="52"/>
      <c r="T101" s="52"/>
      <c r="U101" s="51"/>
      <c r="V101" s="51"/>
      <c r="W101" s="51"/>
      <c r="X101" s="10"/>
      <c r="Y101" s="10"/>
      <c r="Z101" s="10"/>
      <c r="AA101" s="10"/>
      <c r="AB101" s="10"/>
      <c r="AC101" s="10"/>
      <c r="AD101" s="57"/>
      <c r="AE101" s="10"/>
      <c r="AF101" s="10"/>
      <c r="AG101" s="10"/>
    </row>
    <row r="102" customHeight="1" spans="1:33">
      <c r="A102" s="51" t="s">
        <v>242</v>
      </c>
      <c r="B102" s="52">
        <v>45534</v>
      </c>
      <c r="C102" s="51" t="s">
        <v>243</v>
      </c>
      <c r="D102" s="51" t="s">
        <v>244</v>
      </c>
      <c r="E102" s="51" t="s">
        <v>94</v>
      </c>
      <c r="F102" s="51" t="s">
        <v>26</v>
      </c>
      <c r="G102" s="51" t="s">
        <v>10</v>
      </c>
      <c r="H102" s="51">
        <v>2</v>
      </c>
      <c r="I102" s="51">
        <v>699.99</v>
      </c>
      <c r="J102" s="51" t="s">
        <v>50</v>
      </c>
      <c r="K102" s="51" t="s">
        <v>11</v>
      </c>
      <c r="L102" s="51" t="s">
        <v>51</v>
      </c>
      <c r="M102" s="53">
        <v>44421</v>
      </c>
      <c r="N102" s="51">
        <v>1399.98</v>
      </c>
      <c r="O102" s="51">
        <f>MONTH(Table1[[#This Row],[Date]])</f>
        <v>8</v>
      </c>
      <c r="P102" s="51">
        <f>YEAR(Table1[[#This Row],[Date]])</f>
        <v>2024</v>
      </c>
      <c r="R102" s="51"/>
      <c r="S102" s="52"/>
      <c r="T102" s="52"/>
      <c r="U102" s="51"/>
      <c r="V102" s="51"/>
      <c r="W102" s="51"/>
      <c r="X102" s="10"/>
      <c r="Y102" s="10"/>
      <c r="Z102" s="10"/>
      <c r="AA102" s="10"/>
      <c r="AB102" s="10"/>
      <c r="AC102" s="10"/>
      <c r="AD102" s="57"/>
      <c r="AE102" s="10"/>
      <c r="AF102" s="10"/>
      <c r="AG102" s="10"/>
    </row>
    <row r="103" customHeight="1" spans="1:33">
      <c r="A103" s="51" t="s">
        <v>245</v>
      </c>
      <c r="B103" s="52">
        <v>45537</v>
      </c>
      <c r="C103" s="51" t="s">
        <v>240</v>
      </c>
      <c r="D103" s="51" t="s">
        <v>241</v>
      </c>
      <c r="E103" s="51" t="s">
        <v>44</v>
      </c>
      <c r="F103" s="51" t="s">
        <v>24</v>
      </c>
      <c r="G103" s="51" t="s">
        <v>10</v>
      </c>
      <c r="H103" s="51">
        <v>1</v>
      </c>
      <c r="I103" s="51">
        <v>249.99</v>
      </c>
      <c r="J103" s="51" t="s">
        <v>50</v>
      </c>
      <c r="K103" s="51" t="s">
        <v>15</v>
      </c>
      <c r="L103" s="51" t="s">
        <v>51</v>
      </c>
      <c r="M103" s="53">
        <v>44685</v>
      </c>
      <c r="N103" s="51">
        <v>249.99</v>
      </c>
      <c r="O103" s="51">
        <f>MONTH(Table1[[#This Row],[Date]])</f>
        <v>9</v>
      </c>
      <c r="P103" s="51">
        <f>YEAR(Table1[[#This Row],[Date]])</f>
        <v>2024</v>
      </c>
      <c r="R103" s="51"/>
      <c r="S103" s="52"/>
      <c r="T103" s="52"/>
      <c r="U103" s="51"/>
      <c r="V103" s="51"/>
      <c r="W103" s="51"/>
      <c r="X103" s="10"/>
      <c r="Y103" s="10"/>
      <c r="Z103" s="10"/>
      <c r="AA103" s="10"/>
      <c r="AB103" s="10"/>
      <c r="AC103" s="10"/>
      <c r="AD103" s="57"/>
      <c r="AE103" s="10"/>
      <c r="AF103" s="10"/>
      <c r="AG103" s="10"/>
    </row>
    <row r="104" customHeight="1" spans="1:33">
      <c r="A104" s="51" t="s">
        <v>246</v>
      </c>
      <c r="B104" s="52">
        <v>45537</v>
      </c>
      <c r="C104" s="51" t="s">
        <v>42</v>
      </c>
      <c r="D104" s="51" t="s">
        <v>43</v>
      </c>
      <c r="E104" s="51" t="s">
        <v>44</v>
      </c>
      <c r="F104" s="51" t="s">
        <v>24</v>
      </c>
      <c r="G104" s="51" t="s">
        <v>10</v>
      </c>
      <c r="H104" s="51">
        <v>1</v>
      </c>
      <c r="I104" s="51">
        <v>249.99</v>
      </c>
      <c r="J104" s="51" t="s">
        <v>73</v>
      </c>
      <c r="K104" s="51" t="s">
        <v>11</v>
      </c>
      <c r="L104" s="51" t="s">
        <v>51</v>
      </c>
      <c r="M104" s="53">
        <v>45332</v>
      </c>
      <c r="N104" s="51">
        <v>249.99</v>
      </c>
      <c r="O104" s="51">
        <f>MONTH(Table1[[#This Row],[Date]])</f>
        <v>9</v>
      </c>
      <c r="P104" s="51">
        <f>YEAR(Table1[[#This Row],[Date]])</f>
        <v>2024</v>
      </c>
      <c r="R104" s="51"/>
      <c r="S104" s="52"/>
      <c r="T104" s="52"/>
      <c r="U104" s="51"/>
      <c r="V104" s="51"/>
      <c r="W104" s="51"/>
      <c r="X104" s="10"/>
      <c r="Y104" s="10"/>
      <c r="Z104" s="10"/>
      <c r="AA104" s="10"/>
      <c r="AB104" s="10"/>
      <c r="AC104" s="10"/>
      <c r="AD104" s="57"/>
      <c r="AE104" s="10"/>
      <c r="AF104" s="10"/>
      <c r="AG104" s="10"/>
    </row>
    <row r="105" customHeight="1" spans="1:33">
      <c r="A105" s="51" t="s">
        <v>247</v>
      </c>
      <c r="B105" s="52">
        <v>45538</v>
      </c>
      <c r="C105" s="51" t="s">
        <v>235</v>
      </c>
      <c r="D105" s="51" t="s">
        <v>236</v>
      </c>
      <c r="E105" s="51" t="s">
        <v>94</v>
      </c>
      <c r="F105" s="51" t="s">
        <v>26</v>
      </c>
      <c r="G105" s="51" t="s">
        <v>10</v>
      </c>
      <c r="H105" s="51">
        <v>2</v>
      </c>
      <c r="I105" s="51">
        <v>699.99</v>
      </c>
      <c r="J105" s="51" t="s">
        <v>73</v>
      </c>
      <c r="K105" s="51" t="s">
        <v>7</v>
      </c>
      <c r="L105" s="51" t="s">
        <v>51</v>
      </c>
      <c r="M105" s="53">
        <v>44870</v>
      </c>
      <c r="N105" s="51">
        <v>1399.98</v>
      </c>
      <c r="O105" s="51">
        <f>MONTH(Table1[[#This Row],[Date]])</f>
        <v>9</v>
      </c>
      <c r="P105" s="51">
        <f>YEAR(Table1[[#This Row],[Date]])</f>
        <v>2024</v>
      </c>
      <c r="R105" s="51"/>
      <c r="S105" s="52"/>
      <c r="T105" s="52"/>
      <c r="U105" s="51"/>
      <c r="V105" s="51"/>
      <c r="W105" s="51"/>
      <c r="X105" s="10"/>
      <c r="Y105" s="10"/>
      <c r="Z105" s="10"/>
      <c r="AA105" s="10"/>
      <c r="AB105" s="10"/>
      <c r="AC105" s="10"/>
      <c r="AD105" s="57"/>
      <c r="AE105" s="10"/>
      <c r="AF105" s="10"/>
      <c r="AG105" s="10"/>
    </row>
    <row r="106" customHeight="1" spans="1:33">
      <c r="A106" s="51" t="s">
        <v>248</v>
      </c>
      <c r="B106" s="52">
        <v>45541</v>
      </c>
      <c r="C106" s="51" t="s">
        <v>147</v>
      </c>
      <c r="D106" s="51" t="s">
        <v>148</v>
      </c>
      <c r="E106" s="51" t="s">
        <v>55</v>
      </c>
      <c r="F106" s="51" t="s">
        <v>17</v>
      </c>
      <c r="G106" s="51" t="s">
        <v>8</v>
      </c>
      <c r="H106" s="51">
        <v>3</v>
      </c>
      <c r="I106" s="51">
        <v>59.99</v>
      </c>
      <c r="J106" s="51" t="s">
        <v>50</v>
      </c>
      <c r="K106" s="51" t="s">
        <v>7</v>
      </c>
      <c r="L106" s="51" t="s">
        <v>51</v>
      </c>
      <c r="M106" s="53">
        <v>44717</v>
      </c>
      <c r="N106" s="51">
        <v>179.97</v>
      </c>
      <c r="O106" s="51">
        <f>MONTH(Table1[[#This Row],[Date]])</f>
        <v>9</v>
      </c>
      <c r="P106" s="51">
        <f>YEAR(Table1[[#This Row],[Date]])</f>
        <v>2024</v>
      </c>
      <c r="R106" s="51"/>
      <c r="S106" s="52"/>
      <c r="T106" s="52"/>
      <c r="U106" s="51"/>
      <c r="V106" s="51"/>
      <c r="W106" s="51"/>
      <c r="X106" s="10"/>
      <c r="Y106" s="10"/>
      <c r="Z106" s="10"/>
      <c r="AA106" s="10"/>
      <c r="AB106" s="10"/>
      <c r="AC106" s="10"/>
      <c r="AD106" s="57"/>
      <c r="AE106" s="10"/>
      <c r="AF106" s="10"/>
      <c r="AG106" s="10"/>
    </row>
    <row r="107" customHeight="1" spans="1:33">
      <c r="A107" s="51" t="s">
        <v>249</v>
      </c>
      <c r="B107" s="52">
        <v>45544</v>
      </c>
      <c r="C107" s="51" t="s">
        <v>141</v>
      </c>
      <c r="D107" s="51" t="s">
        <v>142</v>
      </c>
      <c r="E107" s="51" t="s">
        <v>55</v>
      </c>
      <c r="F107" s="51" t="s">
        <v>17</v>
      </c>
      <c r="G107" s="51" t="s">
        <v>8</v>
      </c>
      <c r="H107" s="51">
        <v>3</v>
      </c>
      <c r="I107" s="51">
        <v>59.99</v>
      </c>
      <c r="J107" s="51" t="s">
        <v>56</v>
      </c>
      <c r="K107" s="51" t="s">
        <v>9</v>
      </c>
      <c r="L107" s="51" t="s">
        <v>57</v>
      </c>
      <c r="M107" s="53">
        <v>44748</v>
      </c>
      <c r="N107" s="51">
        <v>179.97</v>
      </c>
      <c r="O107" s="51">
        <f>MONTH(Table1[[#This Row],[Date]])</f>
        <v>9</v>
      </c>
      <c r="P107" s="51">
        <f>YEAR(Table1[[#This Row],[Date]])</f>
        <v>2024</v>
      </c>
      <c r="R107" s="51"/>
      <c r="S107" s="52"/>
      <c r="T107" s="52"/>
      <c r="U107" s="51"/>
      <c r="V107" s="51"/>
      <c r="W107" s="51"/>
      <c r="X107" s="10"/>
      <c r="Y107" s="10"/>
      <c r="Z107" s="10"/>
      <c r="AA107" s="10"/>
      <c r="AB107" s="10"/>
      <c r="AC107" s="10"/>
      <c r="AD107" s="57"/>
      <c r="AE107" s="10"/>
      <c r="AF107" s="10"/>
      <c r="AG107" s="10"/>
    </row>
    <row r="108" customHeight="1" spans="1:33">
      <c r="A108" s="51" t="s">
        <v>250</v>
      </c>
      <c r="B108" s="52">
        <v>45544</v>
      </c>
      <c r="C108" s="51" t="s">
        <v>150</v>
      </c>
      <c r="D108" s="51" t="s">
        <v>151</v>
      </c>
      <c r="E108" s="51" t="s">
        <v>126</v>
      </c>
      <c r="F108" s="51" t="s">
        <v>19</v>
      </c>
      <c r="G108" s="51" t="s">
        <v>8</v>
      </c>
      <c r="H108" s="51">
        <v>4</v>
      </c>
      <c r="I108" s="51">
        <v>79.99</v>
      </c>
      <c r="J108" s="51" t="s">
        <v>45</v>
      </c>
      <c r="K108" s="51" t="s">
        <v>11</v>
      </c>
      <c r="L108" s="51" t="s">
        <v>46</v>
      </c>
      <c r="M108" s="53">
        <v>44530</v>
      </c>
      <c r="N108" s="51">
        <v>319.96</v>
      </c>
      <c r="O108" s="51">
        <f>MONTH(Table1[[#This Row],[Date]])</f>
        <v>9</v>
      </c>
      <c r="P108" s="51">
        <f>YEAR(Table1[[#This Row],[Date]])</f>
        <v>2024</v>
      </c>
      <c r="R108" s="51"/>
      <c r="S108" s="52"/>
      <c r="T108" s="52"/>
      <c r="U108" s="51"/>
      <c r="V108" s="51"/>
      <c r="W108" s="51"/>
      <c r="X108" s="10"/>
      <c r="Y108" s="10"/>
      <c r="Z108" s="10"/>
      <c r="AA108" s="10"/>
      <c r="AB108" s="10"/>
      <c r="AC108" s="10"/>
      <c r="AD108" s="57"/>
      <c r="AE108" s="10"/>
      <c r="AF108" s="10"/>
      <c r="AG108" s="10"/>
    </row>
    <row r="109" customHeight="1" spans="1:33">
      <c r="A109" s="51" t="s">
        <v>251</v>
      </c>
      <c r="B109" s="52">
        <v>45545</v>
      </c>
      <c r="C109" s="51" t="s">
        <v>71</v>
      </c>
      <c r="D109" s="51" t="s">
        <v>72</v>
      </c>
      <c r="E109" s="51" t="s">
        <v>126</v>
      </c>
      <c r="F109" s="51" t="s">
        <v>19</v>
      </c>
      <c r="G109" s="51" t="s">
        <v>8</v>
      </c>
      <c r="H109" s="51">
        <v>1</v>
      </c>
      <c r="I109" s="51">
        <v>79.99</v>
      </c>
      <c r="J109" s="51" t="s">
        <v>45</v>
      </c>
      <c r="K109" s="51" t="s">
        <v>15</v>
      </c>
      <c r="L109" s="51" t="s">
        <v>46</v>
      </c>
      <c r="M109" s="53">
        <v>44693</v>
      </c>
      <c r="N109" s="51">
        <v>79.99</v>
      </c>
      <c r="O109" s="51">
        <f>MONTH(Table1[[#This Row],[Date]])</f>
        <v>9</v>
      </c>
      <c r="P109" s="51">
        <f>YEAR(Table1[[#This Row],[Date]])</f>
        <v>2024</v>
      </c>
      <c r="R109" s="51"/>
      <c r="S109" s="52"/>
      <c r="T109" s="52"/>
      <c r="U109" s="51"/>
      <c r="V109" s="51"/>
      <c r="W109" s="51"/>
      <c r="X109" s="10"/>
      <c r="Y109" s="10"/>
      <c r="Z109" s="10"/>
      <c r="AA109" s="10"/>
      <c r="AB109" s="10"/>
      <c r="AC109" s="10"/>
      <c r="AD109" s="57"/>
      <c r="AE109" s="10"/>
      <c r="AF109" s="10"/>
      <c r="AG109" s="10"/>
    </row>
    <row r="110" customHeight="1" spans="1:33">
      <c r="A110" s="51" t="s">
        <v>252</v>
      </c>
      <c r="B110" s="52">
        <v>45547</v>
      </c>
      <c r="C110" s="51" t="s">
        <v>66</v>
      </c>
      <c r="D110" s="51" t="s">
        <v>67</v>
      </c>
      <c r="E110" s="51" t="s">
        <v>118</v>
      </c>
      <c r="F110" s="51" t="s">
        <v>20</v>
      </c>
      <c r="G110" s="51" t="s">
        <v>12</v>
      </c>
      <c r="H110" s="51">
        <v>3</v>
      </c>
      <c r="I110" s="51">
        <v>299.99</v>
      </c>
      <c r="J110" s="51" t="s">
        <v>50</v>
      </c>
      <c r="K110" s="51" t="s">
        <v>7</v>
      </c>
      <c r="L110" s="51" t="s">
        <v>51</v>
      </c>
      <c r="M110" s="53">
        <v>44494</v>
      </c>
      <c r="N110" s="51">
        <v>899.97</v>
      </c>
      <c r="O110" s="51">
        <f>MONTH(Table1[[#This Row],[Date]])</f>
        <v>9</v>
      </c>
      <c r="P110" s="51">
        <f>YEAR(Table1[[#This Row],[Date]])</f>
        <v>2024</v>
      </c>
      <c r="R110" s="51"/>
      <c r="S110" s="52"/>
      <c r="T110" s="52"/>
      <c r="U110" s="51"/>
      <c r="V110" s="51"/>
      <c r="W110" s="51"/>
      <c r="X110" s="10"/>
      <c r="Y110" s="10"/>
      <c r="Z110" s="10"/>
      <c r="AA110" s="10"/>
      <c r="AB110" s="10"/>
      <c r="AC110" s="10"/>
      <c r="AD110" s="57"/>
      <c r="AE110" s="10"/>
      <c r="AF110" s="10"/>
      <c r="AG110" s="10"/>
    </row>
    <row r="111" customHeight="1" spans="1:33">
      <c r="A111" s="51" t="s">
        <v>253</v>
      </c>
      <c r="B111" s="52">
        <v>45548</v>
      </c>
      <c r="C111" s="51" t="s">
        <v>59</v>
      </c>
      <c r="D111" s="51" t="s">
        <v>60</v>
      </c>
      <c r="E111" s="51" t="s">
        <v>128</v>
      </c>
      <c r="F111" s="51" t="s">
        <v>22</v>
      </c>
      <c r="G111" s="51" t="s">
        <v>10</v>
      </c>
      <c r="H111" s="51">
        <v>2</v>
      </c>
      <c r="I111" s="51">
        <v>89.99</v>
      </c>
      <c r="J111" s="51" t="s">
        <v>50</v>
      </c>
      <c r="K111" s="51" t="s">
        <v>13</v>
      </c>
      <c r="L111" s="51" t="s">
        <v>51</v>
      </c>
      <c r="M111" s="53">
        <v>44641</v>
      </c>
      <c r="N111" s="51">
        <v>179.98</v>
      </c>
      <c r="O111" s="51">
        <f>MONTH(Table1[[#This Row],[Date]])</f>
        <v>9</v>
      </c>
      <c r="P111" s="51">
        <f>YEAR(Table1[[#This Row],[Date]])</f>
        <v>2024</v>
      </c>
      <c r="R111" s="51"/>
      <c r="S111" s="52"/>
      <c r="T111" s="52"/>
      <c r="U111" s="51"/>
      <c r="V111" s="51"/>
      <c r="W111" s="51"/>
      <c r="X111" s="10"/>
      <c r="Y111" s="10"/>
      <c r="Z111" s="10"/>
      <c r="AA111" s="10"/>
      <c r="AB111" s="10"/>
      <c r="AC111" s="10"/>
      <c r="AD111" s="57"/>
      <c r="AE111" s="10"/>
      <c r="AF111" s="10"/>
      <c r="AG111" s="10"/>
    </row>
    <row r="112" customHeight="1" spans="1:33">
      <c r="A112" s="51" t="s">
        <v>254</v>
      </c>
      <c r="B112" s="52">
        <v>45550</v>
      </c>
      <c r="C112" s="51" t="s">
        <v>255</v>
      </c>
      <c r="D112" s="51" t="s">
        <v>256</v>
      </c>
      <c r="E112" s="51" t="s">
        <v>69</v>
      </c>
      <c r="F112" s="51" t="s">
        <v>21</v>
      </c>
      <c r="G112" s="51" t="s">
        <v>10</v>
      </c>
      <c r="H112" s="51">
        <v>4</v>
      </c>
      <c r="I112" s="51">
        <v>149.99</v>
      </c>
      <c r="J112" s="51" t="s">
        <v>45</v>
      </c>
      <c r="K112" s="51" t="s">
        <v>11</v>
      </c>
      <c r="L112" s="51" t="s">
        <v>46</v>
      </c>
      <c r="M112" s="53">
        <v>44909</v>
      </c>
      <c r="N112" s="51">
        <v>599.96</v>
      </c>
      <c r="O112" s="51">
        <f>MONTH(Table1[[#This Row],[Date]])</f>
        <v>9</v>
      </c>
      <c r="P112" s="51">
        <f>YEAR(Table1[[#This Row],[Date]])</f>
        <v>2024</v>
      </c>
      <c r="R112" s="51"/>
      <c r="S112" s="52"/>
      <c r="T112" s="52"/>
      <c r="U112" s="51"/>
      <c r="V112" s="51"/>
      <c r="W112" s="51"/>
      <c r="X112" s="10"/>
      <c r="Y112" s="10"/>
      <c r="Z112" s="10"/>
      <c r="AA112" s="10"/>
      <c r="AB112" s="10"/>
      <c r="AC112" s="10"/>
      <c r="AD112" s="57"/>
      <c r="AE112" s="10"/>
      <c r="AF112" s="10"/>
      <c r="AG112" s="10"/>
    </row>
    <row r="113" customHeight="1" spans="1:33">
      <c r="A113" s="51" t="s">
        <v>257</v>
      </c>
      <c r="B113" s="52">
        <v>45551</v>
      </c>
      <c r="C113" s="51" t="s">
        <v>79</v>
      </c>
      <c r="D113" s="51" t="s">
        <v>80</v>
      </c>
      <c r="E113" s="51" t="s">
        <v>44</v>
      </c>
      <c r="F113" s="51" t="s">
        <v>24</v>
      </c>
      <c r="G113" s="51" t="s">
        <v>10</v>
      </c>
      <c r="H113" s="51">
        <v>2</v>
      </c>
      <c r="I113" s="51">
        <v>249.99</v>
      </c>
      <c r="J113" s="51" t="s">
        <v>56</v>
      </c>
      <c r="K113" s="51" t="s">
        <v>13</v>
      </c>
      <c r="L113" s="51" t="s">
        <v>46</v>
      </c>
      <c r="M113" s="53">
        <v>44993</v>
      </c>
      <c r="N113" s="51">
        <v>499.98</v>
      </c>
      <c r="O113" s="51">
        <f>MONTH(Table1[[#This Row],[Date]])</f>
        <v>9</v>
      </c>
      <c r="P113" s="51">
        <f>YEAR(Table1[[#This Row],[Date]])</f>
        <v>2024</v>
      </c>
      <c r="R113" s="51"/>
      <c r="S113" s="52"/>
      <c r="T113" s="52"/>
      <c r="U113" s="51"/>
      <c r="V113" s="51"/>
      <c r="W113" s="51"/>
      <c r="X113" s="10"/>
      <c r="Y113" s="10"/>
      <c r="Z113" s="10"/>
      <c r="AA113" s="10"/>
      <c r="AB113" s="10"/>
      <c r="AC113" s="10"/>
      <c r="AD113" s="57"/>
      <c r="AE113" s="10"/>
      <c r="AF113" s="10"/>
      <c r="AG113" s="10"/>
    </row>
    <row r="114" customHeight="1" spans="1:33">
      <c r="A114" s="51" t="s">
        <v>258</v>
      </c>
      <c r="B114" s="52">
        <v>45551</v>
      </c>
      <c r="C114" s="51" t="s">
        <v>163</v>
      </c>
      <c r="D114" s="51" t="s">
        <v>164</v>
      </c>
      <c r="E114" s="51" t="s">
        <v>136</v>
      </c>
      <c r="F114" s="51" t="s">
        <v>25</v>
      </c>
      <c r="G114" s="51" t="s">
        <v>12</v>
      </c>
      <c r="H114" s="51">
        <v>4</v>
      </c>
      <c r="I114" s="51">
        <v>199.99</v>
      </c>
      <c r="J114" s="51" t="s">
        <v>73</v>
      </c>
      <c r="K114" s="51" t="s">
        <v>9</v>
      </c>
      <c r="L114" s="51" t="s">
        <v>46</v>
      </c>
      <c r="M114" s="53">
        <v>44458</v>
      </c>
      <c r="N114" s="51">
        <v>799.96</v>
      </c>
      <c r="O114" s="51">
        <f>MONTH(Table1[[#This Row],[Date]])</f>
        <v>9</v>
      </c>
      <c r="P114" s="51">
        <f>YEAR(Table1[[#This Row],[Date]])</f>
        <v>2024</v>
      </c>
      <c r="R114" s="51"/>
      <c r="S114" s="52"/>
      <c r="T114" s="52"/>
      <c r="U114" s="51"/>
      <c r="V114" s="51"/>
      <c r="W114" s="51"/>
      <c r="X114" s="10"/>
      <c r="Y114" s="10"/>
      <c r="Z114" s="10"/>
      <c r="AA114" s="10"/>
      <c r="AB114" s="10"/>
      <c r="AC114" s="10"/>
      <c r="AD114" s="57"/>
      <c r="AE114" s="10"/>
      <c r="AF114" s="10"/>
      <c r="AG114" s="10"/>
    </row>
    <row r="115" customHeight="1" spans="1:33">
      <c r="A115" s="51" t="s">
        <v>259</v>
      </c>
      <c r="B115" s="52">
        <v>45554</v>
      </c>
      <c r="C115" s="51" t="s">
        <v>156</v>
      </c>
      <c r="D115" s="51" t="s">
        <v>157</v>
      </c>
      <c r="E115" s="51" t="s">
        <v>128</v>
      </c>
      <c r="F115" s="51" t="s">
        <v>22</v>
      </c>
      <c r="G115" s="51" t="s">
        <v>10</v>
      </c>
      <c r="H115" s="51">
        <v>5</v>
      </c>
      <c r="I115" s="51">
        <v>89.99</v>
      </c>
      <c r="J115" s="51" t="s">
        <v>50</v>
      </c>
      <c r="K115" s="51" t="s">
        <v>9</v>
      </c>
      <c r="L115" s="51" t="s">
        <v>51</v>
      </c>
      <c r="M115" s="53">
        <v>44446</v>
      </c>
      <c r="N115" s="51">
        <v>449.95</v>
      </c>
      <c r="O115" s="51">
        <f>MONTH(Table1[[#This Row],[Date]])</f>
        <v>9</v>
      </c>
      <c r="P115" s="51">
        <f>YEAR(Table1[[#This Row],[Date]])</f>
        <v>2024</v>
      </c>
      <c r="R115" s="51"/>
      <c r="S115" s="52"/>
      <c r="T115" s="52"/>
      <c r="U115" s="51"/>
      <c r="V115" s="51"/>
      <c r="W115" s="51"/>
      <c r="X115" s="10"/>
      <c r="Y115" s="10"/>
      <c r="Z115" s="10"/>
      <c r="AA115" s="10"/>
      <c r="AB115" s="10"/>
      <c r="AC115" s="10"/>
      <c r="AD115" s="57"/>
      <c r="AE115" s="10"/>
      <c r="AF115" s="10"/>
      <c r="AG115" s="10"/>
    </row>
    <row r="116" customHeight="1" spans="1:33">
      <c r="A116" s="51" t="s">
        <v>260</v>
      </c>
      <c r="B116" s="52">
        <v>45554</v>
      </c>
      <c r="C116" s="51" t="s">
        <v>261</v>
      </c>
      <c r="D116" s="51" t="s">
        <v>262</v>
      </c>
      <c r="E116" s="51" t="s">
        <v>69</v>
      </c>
      <c r="F116" s="51" t="s">
        <v>21</v>
      </c>
      <c r="G116" s="51" t="s">
        <v>10</v>
      </c>
      <c r="H116" s="51">
        <v>1</v>
      </c>
      <c r="I116" s="51">
        <v>149.99</v>
      </c>
      <c r="J116" s="51" t="s">
        <v>56</v>
      </c>
      <c r="K116" s="51" t="s">
        <v>9</v>
      </c>
      <c r="L116" s="51" t="s">
        <v>57</v>
      </c>
      <c r="M116" s="53">
        <v>44482</v>
      </c>
      <c r="N116" s="51">
        <v>149.99</v>
      </c>
      <c r="O116" s="51">
        <f>MONTH(Table1[[#This Row],[Date]])</f>
        <v>9</v>
      </c>
      <c r="P116" s="51">
        <f>YEAR(Table1[[#This Row],[Date]])</f>
        <v>2024</v>
      </c>
      <c r="R116" s="51"/>
      <c r="S116" s="52"/>
      <c r="T116" s="52"/>
      <c r="U116" s="51"/>
      <c r="V116" s="51"/>
      <c r="W116" s="51"/>
      <c r="X116" s="10"/>
      <c r="Y116" s="10"/>
      <c r="Z116" s="10"/>
      <c r="AA116" s="10"/>
      <c r="AB116" s="10"/>
      <c r="AC116" s="10"/>
      <c r="AD116" s="57"/>
      <c r="AE116" s="10"/>
      <c r="AF116" s="10"/>
      <c r="AG116" s="10"/>
    </row>
    <row r="117" customHeight="1" spans="1:33">
      <c r="A117" s="51" t="s">
        <v>263</v>
      </c>
      <c r="B117" s="52">
        <v>45554</v>
      </c>
      <c r="C117" s="51" t="s">
        <v>86</v>
      </c>
      <c r="D117" s="51" t="s">
        <v>87</v>
      </c>
      <c r="E117" s="51" t="s">
        <v>94</v>
      </c>
      <c r="F117" s="51" t="s">
        <v>26</v>
      </c>
      <c r="G117" s="51" t="s">
        <v>10</v>
      </c>
      <c r="H117" s="51">
        <v>4</v>
      </c>
      <c r="I117" s="51">
        <v>699.99</v>
      </c>
      <c r="J117" s="51" t="s">
        <v>56</v>
      </c>
      <c r="K117" s="51" t="s">
        <v>13</v>
      </c>
      <c r="L117" s="51" t="s">
        <v>46</v>
      </c>
      <c r="M117" s="53">
        <v>44618</v>
      </c>
      <c r="N117" s="51">
        <v>2799.96</v>
      </c>
      <c r="O117" s="51">
        <f>MONTH(Table1[[#This Row],[Date]])</f>
        <v>9</v>
      </c>
      <c r="P117" s="51">
        <f>YEAR(Table1[[#This Row],[Date]])</f>
        <v>2024</v>
      </c>
      <c r="R117" s="51"/>
      <c r="S117" s="52"/>
      <c r="T117" s="52"/>
      <c r="U117" s="51"/>
      <c r="V117" s="51"/>
      <c r="W117" s="51"/>
      <c r="X117" s="10"/>
      <c r="Y117" s="10"/>
      <c r="Z117" s="10"/>
      <c r="AA117" s="10"/>
      <c r="AB117" s="10"/>
      <c r="AC117" s="10"/>
      <c r="AD117" s="57"/>
      <c r="AE117" s="10"/>
      <c r="AF117" s="10"/>
      <c r="AG117" s="10"/>
    </row>
    <row r="118" customHeight="1" spans="1:33">
      <c r="A118" s="51" t="s">
        <v>264</v>
      </c>
      <c r="B118" s="52">
        <v>45559</v>
      </c>
      <c r="C118" s="51" t="s">
        <v>243</v>
      </c>
      <c r="D118" s="51" t="s">
        <v>244</v>
      </c>
      <c r="E118" s="51" t="s">
        <v>77</v>
      </c>
      <c r="F118" s="51" t="s">
        <v>23</v>
      </c>
      <c r="G118" s="51" t="s">
        <v>10</v>
      </c>
      <c r="H118" s="51">
        <v>3</v>
      </c>
      <c r="I118" s="51">
        <v>899.99</v>
      </c>
      <c r="J118" s="51" t="s">
        <v>50</v>
      </c>
      <c r="K118" s="51" t="s">
        <v>11</v>
      </c>
      <c r="L118" s="51" t="s">
        <v>57</v>
      </c>
      <c r="M118" s="53">
        <v>45157</v>
      </c>
      <c r="N118" s="51">
        <v>2699.97</v>
      </c>
      <c r="O118" s="51">
        <f>MONTH(Table1[[#This Row],[Date]])</f>
        <v>9</v>
      </c>
      <c r="P118" s="51">
        <f>YEAR(Table1[[#This Row],[Date]])</f>
        <v>2024</v>
      </c>
      <c r="R118" s="51"/>
      <c r="S118" s="52"/>
      <c r="T118" s="52"/>
      <c r="U118" s="51"/>
      <c r="V118" s="51"/>
      <c r="W118" s="51"/>
      <c r="X118" s="10"/>
      <c r="Y118" s="10"/>
      <c r="Z118" s="10"/>
      <c r="AA118" s="10"/>
      <c r="AB118" s="10"/>
      <c r="AC118" s="10"/>
      <c r="AD118" s="57"/>
      <c r="AE118" s="10"/>
      <c r="AF118" s="10"/>
      <c r="AG118" s="10"/>
    </row>
    <row r="119" customHeight="1" spans="1:33">
      <c r="A119" s="51" t="s">
        <v>265</v>
      </c>
      <c r="B119" s="52">
        <v>45560</v>
      </c>
      <c r="C119" s="51" t="s">
        <v>124</v>
      </c>
      <c r="D119" s="51" t="s">
        <v>125</v>
      </c>
      <c r="E119" s="51" t="s">
        <v>64</v>
      </c>
      <c r="F119" s="51" t="s">
        <v>18</v>
      </c>
      <c r="G119" s="51" t="s">
        <v>12</v>
      </c>
      <c r="H119" s="51">
        <v>3</v>
      </c>
      <c r="I119" s="51">
        <v>149.99</v>
      </c>
      <c r="J119" s="51" t="s">
        <v>56</v>
      </c>
      <c r="K119" s="51" t="s">
        <v>9</v>
      </c>
      <c r="L119" s="51" t="s">
        <v>46</v>
      </c>
      <c r="M119" s="53">
        <v>44886</v>
      </c>
      <c r="N119" s="51">
        <v>449.97</v>
      </c>
      <c r="O119" s="51">
        <f>MONTH(Table1[[#This Row],[Date]])</f>
        <v>9</v>
      </c>
      <c r="P119" s="51">
        <f>YEAR(Table1[[#This Row],[Date]])</f>
        <v>2024</v>
      </c>
      <c r="R119" s="51"/>
      <c r="S119" s="52"/>
      <c r="T119" s="52"/>
      <c r="U119" s="51"/>
      <c r="V119" s="51"/>
      <c r="W119" s="51"/>
      <c r="X119" s="10"/>
      <c r="Y119" s="10"/>
      <c r="Z119" s="10"/>
      <c r="AA119" s="10"/>
      <c r="AB119" s="10"/>
      <c r="AC119" s="10"/>
      <c r="AD119" s="57"/>
      <c r="AE119" s="10"/>
      <c r="AF119" s="10"/>
      <c r="AG119" s="10"/>
    </row>
    <row r="120" customHeight="1" spans="1:33">
      <c r="A120" s="51" t="s">
        <v>266</v>
      </c>
      <c r="B120" s="52">
        <v>45563</v>
      </c>
      <c r="C120" s="51" t="s">
        <v>112</v>
      </c>
      <c r="D120" s="51" t="s">
        <v>113</v>
      </c>
      <c r="E120" s="51" t="s">
        <v>118</v>
      </c>
      <c r="F120" s="51" t="s">
        <v>20</v>
      </c>
      <c r="G120" s="51" t="s">
        <v>12</v>
      </c>
      <c r="H120" s="51">
        <v>2</v>
      </c>
      <c r="I120" s="51">
        <v>299.99</v>
      </c>
      <c r="J120" s="51" t="s">
        <v>73</v>
      </c>
      <c r="K120" s="51" t="s">
        <v>7</v>
      </c>
      <c r="L120" s="51" t="s">
        <v>46</v>
      </c>
      <c r="M120" s="53">
        <v>44569</v>
      </c>
      <c r="N120" s="51">
        <v>599.98</v>
      </c>
      <c r="O120" s="51">
        <f>MONTH(Table1[[#This Row],[Date]])</f>
        <v>9</v>
      </c>
      <c r="P120" s="51">
        <f>YEAR(Table1[[#This Row],[Date]])</f>
        <v>2024</v>
      </c>
      <c r="R120" s="51"/>
      <c r="S120" s="52"/>
      <c r="T120" s="52"/>
      <c r="U120" s="51"/>
      <c r="V120" s="51"/>
      <c r="W120" s="51"/>
      <c r="X120" s="10"/>
      <c r="Y120" s="10"/>
      <c r="Z120" s="10"/>
      <c r="AA120" s="10"/>
      <c r="AB120" s="10"/>
      <c r="AC120" s="10"/>
      <c r="AD120" s="57"/>
      <c r="AE120" s="10"/>
      <c r="AF120" s="10"/>
      <c r="AG120" s="10"/>
    </row>
    <row r="121" customHeight="1" spans="1:33">
      <c r="A121" s="51" t="s">
        <v>267</v>
      </c>
      <c r="B121" s="52">
        <v>45564</v>
      </c>
      <c r="C121" s="51" t="s">
        <v>268</v>
      </c>
      <c r="D121" s="51" t="s">
        <v>269</v>
      </c>
      <c r="E121" s="51" t="s">
        <v>136</v>
      </c>
      <c r="F121" s="51" t="s">
        <v>25</v>
      </c>
      <c r="G121" s="51" t="s">
        <v>12</v>
      </c>
      <c r="H121" s="51">
        <v>1</v>
      </c>
      <c r="I121" s="51">
        <v>199.99</v>
      </c>
      <c r="J121" s="51" t="s">
        <v>73</v>
      </c>
      <c r="K121" s="51" t="s">
        <v>9</v>
      </c>
      <c r="L121" s="51" t="s">
        <v>57</v>
      </c>
      <c r="M121" s="53">
        <v>44953</v>
      </c>
      <c r="N121" s="51">
        <v>199.99</v>
      </c>
      <c r="O121" s="51">
        <f>MONTH(Table1[[#This Row],[Date]])</f>
        <v>9</v>
      </c>
      <c r="P121" s="51">
        <f>YEAR(Table1[[#This Row],[Date]])</f>
        <v>2024</v>
      </c>
      <c r="R121" s="51"/>
      <c r="S121" s="52"/>
      <c r="T121" s="52"/>
      <c r="U121" s="51"/>
      <c r="V121" s="51"/>
      <c r="W121" s="51"/>
      <c r="X121" s="10"/>
      <c r="Y121" s="10"/>
      <c r="Z121" s="10"/>
      <c r="AA121" s="10"/>
      <c r="AB121" s="10"/>
      <c r="AC121" s="10"/>
      <c r="AD121" s="57"/>
      <c r="AE121" s="10"/>
      <c r="AF121" s="10"/>
      <c r="AG121" s="10"/>
    </row>
    <row r="122" customHeight="1" spans="1:33">
      <c r="A122" s="51" t="s">
        <v>270</v>
      </c>
      <c r="B122" s="52">
        <v>45566</v>
      </c>
      <c r="C122" s="51" t="s">
        <v>62</v>
      </c>
      <c r="D122" s="51" t="s">
        <v>63</v>
      </c>
      <c r="E122" s="51" t="s">
        <v>118</v>
      </c>
      <c r="F122" s="51" t="s">
        <v>20</v>
      </c>
      <c r="G122" s="51" t="s">
        <v>12</v>
      </c>
      <c r="H122" s="51">
        <v>4</v>
      </c>
      <c r="I122" s="51">
        <v>299.99</v>
      </c>
      <c r="J122" s="51" t="s">
        <v>45</v>
      </c>
      <c r="K122" s="51" t="s">
        <v>7</v>
      </c>
      <c r="L122" s="51" t="s">
        <v>51</v>
      </c>
      <c r="M122" s="53">
        <v>44460</v>
      </c>
      <c r="N122" s="51">
        <v>1199.96</v>
      </c>
      <c r="O122" s="51">
        <f>MONTH(Table1[[#This Row],[Date]])</f>
        <v>10</v>
      </c>
      <c r="P122" s="51">
        <f>YEAR(Table1[[#This Row],[Date]])</f>
        <v>2024</v>
      </c>
      <c r="R122" s="51"/>
      <c r="S122" s="52"/>
      <c r="T122" s="52"/>
      <c r="U122" s="51"/>
      <c r="V122" s="51"/>
      <c r="W122" s="51"/>
      <c r="X122" s="10"/>
      <c r="Y122" s="10"/>
      <c r="Z122" s="10"/>
      <c r="AA122" s="10"/>
      <c r="AB122" s="10"/>
      <c r="AC122" s="10"/>
      <c r="AD122" s="57"/>
      <c r="AE122" s="10"/>
      <c r="AF122" s="10"/>
      <c r="AG122" s="10"/>
    </row>
    <row r="123" customHeight="1" spans="1:33">
      <c r="A123" s="51" t="s">
        <v>271</v>
      </c>
      <c r="B123" s="52">
        <v>45572</v>
      </c>
      <c r="C123" s="51" t="s">
        <v>102</v>
      </c>
      <c r="D123" s="51" t="s">
        <v>103</v>
      </c>
      <c r="E123" s="51" t="s">
        <v>55</v>
      </c>
      <c r="F123" s="51" t="s">
        <v>17</v>
      </c>
      <c r="G123" s="51" t="s">
        <v>8</v>
      </c>
      <c r="H123" s="51">
        <v>2</v>
      </c>
      <c r="I123" s="51">
        <v>59.99</v>
      </c>
      <c r="J123" s="51" t="s">
        <v>50</v>
      </c>
      <c r="K123" s="51" t="s">
        <v>7</v>
      </c>
      <c r="L123" s="51" t="s">
        <v>46</v>
      </c>
      <c r="M123" s="53">
        <v>44579</v>
      </c>
      <c r="N123" s="51">
        <v>119.98</v>
      </c>
      <c r="O123" s="51">
        <f>MONTH(Table1[[#This Row],[Date]])</f>
        <v>10</v>
      </c>
      <c r="P123" s="51">
        <f>YEAR(Table1[[#This Row],[Date]])</f>
        <v>2024</v>
      </c>
      <c r="R123" s="51"/>
      <c r="S123" s="52"/>
      <c r="T123" s="52"/>
      <c r="U123" s="51"/>
      <c r="V123" s="51"/>
      <c r="W123" s="51"/>
      <c r="X123" s="10"/>
      <c r="Y123" s="10"/>
      <c r="Z123" s="10"/>
      <c r="AA123" s="10"/>
      <c r="AB123" s="10"/>
      <c r="AC123" s="10"/>
      <c r="AD123" s="57"/>
      <c r="AE123" s="10"/>
      <c r="AF123" s="10"/>
      <c r="AG123" s="10"/>
    </row>
    <row r="124" customHeight="1" spans="1:33">
      <c r="A124" s="51" t="s">
        <v>272</v>
      </c>
      <c r="B124" s="52">
        <v>45572</v>
      </c>
      <c r="C124" s="51" t="s">
        <v>243</v>
      </c>
      <c r="D124" s="51" t="s">
        <v>244</v>
      </c>
      <c r="E124" s="51" t="s">
        <v>69</v>
      </c>
      <c r="F124" s="51" t="s">
        <v>21</v>
      </c>
      <c r="G124" s="51" t="s">
        <v>10</v>
      </c>
      <c r="H124" s="51">
        <v>4</v>
      </c>
      <c r="I124" s="51">
        <v>149.99</v>
      </c>
      <c r="J124" s="51" t="s">
        <v>50</v>
      </c>
      <c r="K124" s="51" t="s">
        <v>11</v>
      </c>
      <c r="L124" s="51" t="s">
        <v>51</v>
      </c>
      <c r="M124" s="53">
        <v>45076</v>
      </c>
      <c r="N124" s="51">
        <v>599.96</v>
      </c>
      <c r="O124" s="51">
        <f>MONTH(Table1[[#This Row],[Date]])</f>
        <v>10</v>
      </c>
      <c r="P124" s="51">
        <f>YEAR(Table1[[#This Row],[Date]])</f>
        <v>2024</v>
      </c>
      <c r="R124" s="51"/>
      <c r="S124" s="52"/>
      <c r="T124" s="52"/>
      <c r="U124" s="51"/>
      <c r="V124" s="51"/>
      <c r="W124" s="51"/>
      <c r="X124" s="10"/>
      <c r="Y124" s="10"/>
      <c r="Z124" s="10"/>
      <c r="AA124" s="10"/>
      <c r="AB124" s="10"/>
      <c r="AC124" s="10"/>
      <c r="AD124" s="57"/>
      <c r="AE124" s="10"/>
      <c r="AF124" s="10"/>
      <c r="AG124" s="10"/>
    </row>
    <row r="125" customHeight="1" spans="1:33">
      <c r="A125" s="51" t="s">
        <v>273</v>
      </c>
      <c r="B125" s="52">
        <v>45573</v>
      </c>
      <c r="C125" s="51" t="s">
        <v>220</v>
      </c>
      <c r="D125" s="51" t="s">
        <v>221</v>
      </c>
      <c r="E125" s="51" t="s">
        <v>94</v>
      </c>
      <c r="F125" s="51" t="s">
        <v>26</v>
      </c>
      <c r="G125" s="51" t="s">
        <v>10</v>
      </c>
      <c r="H125" s="51">
        <v>2</v>
      </c>
      <c r="I125" s="51">
        <v>699.99</v>
      </c>
      <c r="J125" s="51" t="s">
        <v>73</v>
      </c>
      <c r="K125" s="51" t="s">
        <v>9</v>
      </c>
      <c r="L125" s="51" t="s">
        <v>51</v>
      </c>
      <c r="M125" s="53">
        <v>45274</v>
      </c>
      <c r="N125" s="51">
        <v>1399.98</v>
      </c>
      <c r="O125" s="51">
        <f>MONTH(Table1[[#This Row],[Date]])</f>
        <v>10</v>
      </c>
      <c r="P125" s="51">
        <f>YEAR(Table1[[#This Row],[Date]])</f>
        <v>2024</v>
      </c>
      <c r="R125" s="51"/>
      <c r="S125" s="52"/>
      <c r="T125" s="52"/>
      <c r="U125" s="51"/>
      <c r="V125" s="51"/>
      <c r="W125" s="51"/>
      <c r="X125" s="10"/>
      <c r="Y125" s="10"/>
      <c r="Z125" s="10"/>
      <c r="AA125" s="10"/>
      <c r="AB125" s="10"/>
      <c r="AC125" s="10"/>
      <c r="AD125" s="57"/>
      <c r="AE125" s="10"/>
      <c r="AF125" s="10"/>
      <c r="AG125" s="10"/>
    </row>
    <row r="126" customHeight="1" spans="1:33">
      <c r="A126" s="51" t="s">
        <v>274</v>
      </c>
      <c r="B126" s="52">
        <v>45573</v>
      </c>
      <c r="C126" s="51" t="s">
        <v>240</v>
      </c>
      <c r="D126" s="51" t="s">
        <v>241</v>
      </c>
      <c r="E126" s="51" t="s">
        <v>64</v>
      </c>
      <c r="F126" s="51" t="s">
        <v>18</v>
      </c>
      <c r="G126" s="51" t="s">
        <v>12</v>
      </c>
      <c r="H126" s="51">
        <v>3</v>
      </c>
      <c r="I126" s="51">
        <v>149.99</v>
      </c>
      <c r="J126" s="51" t="s">
        <v>50</v>
      </c>
      <c r="K126" s="51" t="s">
        <v>13</v>
      </c>
      <c r="L126" s="51" t="s">
        <v>57</v>
      </c>
      <c r="M126" s="53">
        <v>44940</v>
      </c>
      <c r="N126" s="51">
        <v>449.97</v>
      </c>
      <c r="O126" s="51">
        <f>MONTH(Table1[[#This Row],[Date]])</f>
        <v>10</v>
      </c>
      <c r="P126" s="51">
        <f>YEAR(Table1[[#This Row],[Date]])</f>
        <v>2024</v>
      </c>
      <c r="R126" s="51"/>
      <c r="S126" s="52"/>
      <c r="T126" s="52"/>
      <c r="U126" s="51"/>
      <c r="V126" s="51"/>
      <c r="W126" s="51"/>
      <c r="X126" s="10"/>
      <c r="Y126" s="10"/>
      <c r="Z126" s="10"/>
      <c r="AA126" s="10"/>
      <c r="AB126" s="10"/>
      <c r="AC126" s="10"/>
      <c r="AD126" s="57"/>
      <c r="AE126" s="10"/>
      <c r="AF126" s="10"/>
      <c r="AG126" s="10"/>
    </row>
    <row r="127" customHeight="1" spans="1:33">
      <c r="A127" s="51" t="s">
        <v>275</v>
      </c>
      <c r="B127" s="52">
        <v>45576</v>
      </c>
      <c r="C127" s="51" t="s">
        <v>156</v>
      </c>
      <c r="D127" s="51" t="s">
        <v>157</v>
      </c>
      <c r="E127" s="51" t="s">
        <v>118</v>
      </c>
      <c r="F127" s="51" t="s">
        <v>20</v>
      </c>
      <c r="G127" s="51" t="s">
        <v>12</v>
      </c>
      <c r="H127" s="51">
        <v>3</v>
      </c>
      <c r="I127" s="51">
        <v>299.99</v>
      </c>
      <c r="J127" s="51" t="s">
        <v>50</v>
      </c>
      <c r="K127" s="51" t="s">
        <v>7</v>
      </c>
      <c r="L127" s="51" t="s">
        <v>57</v>
      </c>
      <c r="M127" s="53">
        <v>45174</v>
      </c>
      <c r="N127" s="51">
        <v>899.97</v>
      </c>
      <c r="O127" s="51">
        <f>MONTH(Table1[[#This Row],[Date]])</f>
        <v>10</v>
      </c>
      <c r="P127" s="51">
        <f>YEAR(Table1[[#This Row],[Date]])</f>
        <v>2024</v>
      </c>
      <c r="R127" s="51"/>
      <c r="S127" s="52"/>
      <c r="T127" s="52"/>
      <c r="U127" s="51"/>
      <c r="V127" s="51"/>
      <c r="W127" s="51"/>
      <c r="X127" s="10"/>
      <c r="Y127" s="10"/>
      <c r="Z127" s="10"/>
      <c r="AA127" s="10"/>
      <c r="AB127" s="10"/>
      <c r="AC127" s="10"/>
      <c r="AD127" s="57"/>
      <c r="AE127" s="10"/>
      <c r="AF127" s="10"/>
      <c r="AG127" s="10"/>
    </row>
    <row r="128" customHeight="1" spans="1:33">
      <c r="A128" s="51" t="s">
        <v>276</v>
      </c>
      <c r="B128" s="52">
        <v>45579</v>
      </c>
      <c r="C128" s="51" t="s">
        <v>96</v>
      </c>
      <c r="D128" s="51" t="s">
        <v>97</v>
      </c>
      <c r="E128" s="51" t="s">
        <v>77</v>
      </c>
      <c r="F128" s="51" t="s">
        <v>23</v>
      </c>
      <c r="G128" s="51" t="s">
        <v>10</v>
      </c>
      <c r="H128" s="51">
        <v>3</v>
      </c>
      <c r="I128" s="51">
        <v>899.99</v>
      </c>
      <c r="J128" s="51" t="s">
        <v>56</v>
      </c>
      <c r="K128" s="51" t="s">
        <v>15</v>
      </c>
      <c r="L128" s="51" t="s">
        <v>46</v>
      </c>
      <c r="M128" s="53">
        <v>45215</v>
      </c>
      <c r="N128" s="51">
        <v>2699.97</v>
      </c>
      <c r="O128" s="51">
        <f>MONTH(Table1[[#This Row],[Date]])</f>
        <v>10</v>
      </c>
      <c r="P128" s="51">
        <f>YEAR(Table1[[#This Row],[Date]])</f>
        <v>2024</v>
      </c>
      <c r="R128" s="51"/>
      <c r="S128" s="52"/>
      <c r="T128" s="52"/>
      <c r="U128" s="51"/>
      <c r="V128" s="51"/>
      <c r="W128" s="51"/>
      <c r="X128" s="10"/>
      <c r="Y128" s="10"/>
      <c r="Z128" s="10"/>
      <c r="AA128" s="10"/>
      <c r="AB128" s="10"/>
      <c r="AC128" s="10"/>
      <c r="AD128" s="57"/>
      <c r="AE128" s="10"/>
      <c r="AF128" s="10"/>
      <c r="AG128" s="10"/>
    </row>
    <row r="129" customHeight="1" spans="1:33">
      <c r="A129" s="51" t="s">
        <v>277</v>
      </c>
      <c r="B129" s="52">
        <v>45581</v>
      </c>
      <c r="C129" s="51" t="s">
        <v>109</v>
      </c>
      <c r="D129" s="51" t="s">
        <v>110</v>
      </c>
      <c r="E129" s="51" t="s">
        <v>94</v>
      </c>
      <c r="F129" s="51" t="s">
        <v>26</v>
      </c>
      <c r="G129" s="51" t="s">
        <v>10</v>
      </c>
      <c r="H129" s="51">
        <v>5</v>
      </c>
      <c r="I129" s="51">
        <v>699.99</v>
      </c>
      <c r="J129" s="51" t="s">
        <v>45</v>
      </c>
      <c r="K129" s="51" t="s">
        <v>9</v>
      </c>
      <c r="L129" s="51" t="s">
        <v>57</v>
      </c>
      <c r="M129" s="53">
        <v>45008</v>
      </c>
      <c r="N129" s="51">
        <v>3499.95</v>
      </c>
      <c r="O129" s="51">
        <f>MONTH(Table1[[#This Row],[Date]])</f>
        <v>10</v>
      </c>
      <c r="P129" s="51">
        <f>YEAR(Table1[[#This Row],[Date]])</f>
        <v>2024</v>
      </c>
      <c r="R129" s="51"/>
      <c r="S129" s="52"/>
      <c r="T129" s="52"/>
      <c r="U129" s="51"/>
      <c r="V129" s="51"/>
      <c r="W129" s="51"/>
      <c r="X129" s="10"/>
      <c r="Y129" s="10"/>
      <c r="Z129" s="10"/>
      <c r="AA129" s="10"/>
      <c r="AB129" s="10"/>
      <c r="AC129" s="10"/>
      <c r="AD129" s="57"/>
      <c r="AE129" s="10"/>
      <c r="AF129" s="10"/>
      <c r="AG129" s="10"/>
    </row>
    <row r="130" customHeight="1" spans="1:33">
      <c r="A130" s="51" t="s">
        <v>278</v>
      </c>
      <c r="B130" s="52">
        <v>45581</v>
      </c>
      <c r="C130" s="51" t="s">
        <v>180</v>
      </c>
      <c r="D130" s="51" t="s">
        <v>181</v>
      </c>
      <c r="E130" s="51" t="s">
        <v>94</v>
      </c>
      <c r="F130" s="51" t="s">
        <v>26</v>
      </c>
      <c r="G130" s="51" t="s">
        <v>10</v>
      </c>
      <c r="H130" s="51">
        <v>4</v>
      </c>
      <c r="I130" s="51">
        <v>699.99</v>
      </c>
      <c r="J130" s="51" t="s">
        <v>50</v>
      </c>
      <c r="K130" s="51" t="s">
        <v>7</v>
      </c>
      <c r="L130" s="51" t="s">
        <v>46</v>
      </c>
      <c r="M130" s="53">
        <v>45385</v>
      </c>
      <c r="N130" s="51">
        <v>2799.96</v>
      </c>
      <c r="O130" s="51">
        <f>MONTH(Table1[[#This Row],[Date]])</f>
        <v>10</v>
      </c>
      <c r="P130" s="51">
        <f>YEAR(Table1[[#This Row],[Date]])</f>
        <v>2024</v>
      </c>
      <c r="R130" s="51"/>
      <c r="S130" s="52"/>
      <c r="T130" s="52"/>
      <c r="U130" s="51"/>
      <c r="V130" s="51"/>
      <c r="W130" s="51"/>
      <c r="X130" s="10"/>
      <c r="Y130" s="10"/>
      <c r="Z130" s="10"/>
      <c r="AA130" s="10"/>
      <c r="AB130" s="10"/>
      <c r="AC130" s="10"/>
      <c r="AD130" s="57"/>
      <c r="AE130" s="10"/>
      <c r="AF130" s="10"/>
      <c r="AG130" s="10"/>
    </row>
    <row r="131" customHeight="1" spans="1:33">
      <c r="A131" s="51" t="s">
        <v>279</v>
      </c>
      <c r="B131" s="52">
        <v>45581</v>
      </c>
      <c r="C131" s="51" t="s">
        <v>159</v>
      </c>
      <c r="D131" s="51" t="s">
        <v>160</v>
      </c>
      <c r="E131" s="51" t="s">
        <v>77</v>
      </c>
      <c r="F131" s="51" t="s">
        <v>23</v>
      </c>
      <c r="G131" s="51" t="s">
        <v>10</v>
      </c>
      <c r="H131" s="51">
        <v>1</v>
      </c>
      <c r="I131" s="51">
        <v>899.99</v>
      </c>
      <c r="J131" s="51" t="s">
        <v>50</v>
      </c>
      <c r="K131" s="51" t="s">
        <v>9</v>
      </c>
      <c r="L131" s="51" t="s">
        <v>57</v>
      </c>
      <c r="M131" s="53">
        <v>45369</v>
      </c>
      <c r="N131" s="51">
        <v>899.99</v>
      </c>
      <c r="O131" s="51">
        <f>MONTH(Table1[[#This Row],[Date]])</f>
        <v>10</v>
      </c>
      <c r="P131" s="51">
        <f>YEAR(Table1[[#This Row],[Date]])</f>
        <v>2024</v>
      </c>
      <c r="R131" s="51"/>
      <c r="S131" s="52"/>
      <c r="T131" s="52"/>
      <c r="U131" s="51"/>
      <c r="V131" s="51"/>
      <c r="W131" s="51"/>
      <c r="X131" s="10"/>
      <c r="Y131" s="10"/>
      <c r="Z131" s="10"/>
      <c r="AA131" s="10"/>
      <c r="AB131" s="10"/>
      <c r="AC131" s="10"/>
      <c r="AD131" s="57"/>
      <c r="AE131" s="10"/>
      <c r="AF131" s="10"/>
      <c r="AG131" s="10"/>
    </row>
    <row r="132" customHeight="1" spans="1:33">
      <c r="A132" s="51" t="s">
        <v>280</v>
      </c>
      <c r="B132" s="52">
        <v>45583</v>
      </c>
      <c r="C132" s="51" t="s">
        <v>235</v>
      </c>
      <c r="D132" s="51" t="s">
        <v>236</v>
      </c>
      <c r="E132" s="51" t="s">
        <v>69</v>
      </c>
      <c r="F132" s="51" t="s">
        <v>21</v>
      </c>
      <c r="G132" s="51" t="s">
        <v>10</v>
      </c>
      <c r="H132" s="51">
        <v>2</v>
      </c>
      <c r="I132" s="51">
        <v>149.99</v>
      </c>
      <c r="J132" s="51" t="s">
        <v>50</v>
      </c>
      <c r="K132" s="51" t="s">
        <v>15</v>
      </c>
      <c r="L132" s="51" t="s">
        <v>46</v>
      </c>
      <c r="M132" s="53">
        <v>44916</v>
      </c>
      <c r="N132" s="51">
        <v>299.98</v>
      </c>
      <c r="O132" s="51">
        <f>MONTH(Table1[[#This Row],[Date]])</f>
        <v>10</v>
      </c>
      <c r="P132" s="51">
        <f>YEAR(Table1[[#This Row],[Date]])</f>
        <v>2024</v>
      </c>
      <c r="R132" s="51"/>
      <c r="S132" s="52"/>
      <c r="T132" s="52"/>
      <c r="U132" s="51"/>
      <c r="V132" s="51"/>
      <c r="W132" s="51"/>
      <c r="X132" s="10"/>
      <c r="Y132" s="10"/>
      <c r="Z132" s="10"/>
      <c r="AA132" s="10"/>
      <c r="AB132" s="10"/>
      <c r="AC132" s="10"/>
      <c r="AD132" s="57"/>
      <c r="AE132" s="10"/>
      <c r="AF132" s="10"/>
      <c r="AG132" s="10"/>
    </row>
    <row r="133" customHeight="1" spans="1:33">
      <c r="A133" s="51" t="s">
        <v>281</v>
      </c>
      <c r="B133" s="52">
        <v>45586</v>
      </c>
      <c r="C133" s="51" t="s">
        <v>235</v>
      </c>
      <c r="D133" s="51" t="s">
        <v>236</v>
      </c>
      <c r="E133" s="51" t="s">
        <v>128</v>
      </c>
      <c r="F133" s="51" t="s">
        <v>22</v>
      </c>
      <c r="G133" s="51" t="s">
        <v>10</v>
      </c>
      <c r="H133" s="51">
        <v>3</v>
      </c>
      <c r="I133" s="51">
        <v>89.99</v>
      </c>
      <c r="J133" s="51" t="s">
        <v>56</v>
      </c>
      <c r="K133" s="51" t="s">
        <v>7</v>
      </c>
      <c r="L133" s="51" t="s">
        <v>46</v>
      </c>
      <c r="M133" s="53">
        <v>44551</v>
      </c>
      <c r="N133" s="51">
        <v>269.97</v>
      </c>
      <c r="O133" s="51">
        <f>MONTH(Table1[[#This Row],[Date]])</f>
        <v>10</v>
      </c>
      <c r="P133" s="51">
        <f>YEAR(Table1[[#This Row],[Date]])</f>
        <v>2024</v>
      </c>
      <c r="R133" s="51"/>
      <c r="S133" s="52"/>
      <c r="T133" s="52"/>
      <c r="U133" s="51"/>
      <c r="V133" s="51"/>
      <c r="W133" s="51"/>
      <c r="X133" s="10"/>
      <c r="Y133" s="10"/>
      <c r="Z133" s="10"/>
      <c r="AA133" s="10"/>
      <c r="AB133" s="10"/>
      <c r="AC133" s="10"/>
      <c r="AD133" s="57"/>
      <c r="AE133" s="10"/>
      <c r="AF133" s="10"/>
      <c r="AG133" s="10"/>
    </row>
    <row r="134" customHeight="1" spans="1:33">
      <c r="A134" s="51" t="s">
        <v>282</v>
      </c>
      <c r="B134" s="52">
        <v>45588</v>
      </c>
      <c r="C134" s="51" t="s">
        <v>59</v>
      </c>
      <c r="D134" s="51" t="s">
        <v>60</v>
      </c>
      <c r="E134" s="51" t="s">
        <v>69</v>
      </c>
      <c r="F134" s="51" t="s">
        <v>21</v>
      </c>
      <c r="G134" s="51" t="s">
        <v>10</v>
      </c>
      <c r="H134" s="51">
        <v>2</v>
      </c>
      <c r="I134" s="51">
        <v>149.99</v>
      </c>
      <c r="J134" s="51" t="s">
        <v>56</v>
      </c>
      <c r="K134" s="51" t="s">
        <v>7</v>
      </c>
      <c r="L134" s="51" t="s">
        <v>46</v>
      </c>
      <c r="M134" s="53">
        <v>44473</v>
      </c>
      <c r="N134" s="51">
        <v>299.98</v>
      </c>
      <c r="O134" s="51">
        <f>MONTH(Table1[[#This Row],[Date]])</f>
        <v>10</v>
      </c>
      <c r="P134" s="51">
        <f>YEAR(Table1[[#This Row],[Date]])</f>
        <v>2024</v>
      </c>
      <c r="R134" s="51"/>
      <c r="S134" s="52"/>
      <c r="T134" s="52"/>
      <c r="U134" s="51"/>
      <c r="V134" s="51"/>
      <c r="W134" s="51"/>
      <c r="X134" s="10"/>
      <c r="Y134" s="10"/>
      <c r="Z134" s="10"/>
      <c r="AA134" s="10"/>
      <c r="AB134" s="10"/>
      <c r="AC134" s="10"/>
      <c r="AD134" s="57"/>
      <c r="AE134" s="10"/>
      <c r="AF134" s="10"/>
      <c r="AG134" s="10"/>
    </row>
    <row r="135" customHeight="1" spans="1:33">
      <c r="A135" s="51" t="s">
        <v>283</v>
      </c>
      <c r="B135" s="52">
        <v>45588</v>
      </c>
      <c r="C135" s="51" t="s">
        <v>163</v>
      </c>
      <c r="D135" s="51" t="s">
        <v>164</v>
      </c>
      <c r="E135" s="51" t="s">
        <v>94</v>
      </c>
      <c r="F135" s="51" t="s">
        <v>26</v>
      </c>
      <c r="G135" s="51" t="s">
        <v>10</v>
      </c>
      <c r="H135" s="51">
        <v>2</v>
      </c>
      <c r="I135" s="51">
        <v>699.99</v>
      </c>
      <c r="J135" s="51" t="s">
        <v>45</v>
      </c>
      <c r="K135" s="51" t="s">
        <v>7</v>
      </c>
      <c r="L135" s="51" t="s">
        <v>46</v>
      </c>
      <c r="M135" s="53">
        <v>44992</v>
      </c>
      <c r="N135" s="51">
        <v>1399.98</v>
      </c>
      <c r="O135" s="51">
        <f>MONTH(Table1[[#This Row],[Date]])</f>
        <v>10</v>
      </c>
      <c r="P135" s="51">
        <f>YEAR(Table1[[#This Row],[Date]])</f>
        <v>2024</v>
      </c>
      <c r="R135" s="51"/>
      <c r="S135" s="52"/>
      <c r="T135" s="52"/>
      <c r="U135" s="51"/>
      <c r="V135" s="51"/>
      <c r="W135" s="51"/>
      <c r="X135" s="10"/>
      <c r="Y135" s="10"/>
      <c r="Z135" s="10"/>
      <c r="AA135" s="10"/>
      <c r="AB135" s="10"/>
      <c r="AC135" s="10"/>
      <c r="AD135" s="57"/>
      <c r="AE135" s="10"/>
      <c r="AF135" s="10"/>
      <c r="AG135" s="10"/>
    </row>
    <row r="136" customHeight="1" spans="1:33">
      <c r="A136" s="51" t="s">
        <v>284</v>
      </c>
      <c r="B136" s="52">
        <v>45589</v>
      </c>
      <c r="C136" s="51" t="s">
        <v>167</v>
      </c>
      <c r="D136" s="51" t="s">
        <v>168</v>
      </c>
      <c r="E136" s="51" t="s">
        <v>94</v>
      </c>
      <c r="F136" s="51" t="s">
        <v>26</v>
      </c>
      <c r="G136" s="51" t="s">
        <v>10</v>
      </c>
      <c r="H136" s="51">
        <v>5</v>
      </c>
      <c r="I136" s="51">
        <v>699.99</v>
      </c>
      <c r="J136" s="51" t="s">
        <v>45</v>
      </c>
      <c r="K136" s="51" t="s">
        <v>11</v>
      </c>
      <c r="L136" s="51" t="s">
        <v>51</v>
      </c>
      <c r="M136" s="53">
        <v>44635</v>
      </c>
      <c r="N136" s="51">
        <v>3499.95</v>
      </c>
      <c r="O136" s="51">
        <f>MONTH(Table1[[#This Row],[Date]])</f>
        <v>10</v>
      </c>
      <c r="P136" s="51">
        <f>YEAR(Table1[[#This Row],[Date]])</f>
        <v>2024</v>
      </c>
      <c r="R136" s="51"/>
      <c r="S136" s="52"/>
      <c r="T136" s="52"/>
      <c r="U136" s="51"/>
      <c r="V136" s="51"/>
      <c r="W136" s="51"/>
      <c r="X136" s="10"/>
      <c r="Y136" s="10"/>
      <c r="Z136" s="10"/>
      <c r="AA136" s="10"/>
      <c r="AB136" s="10"/>
      <c r="AC136" s="10"/>
      <c r="AD136" s="57"/>
      <c r="AE136" s="10"/>
      <c r="AF136" s="10"/>
      <c r="AG136" s="10"/>
    </row>
    <row r="137" customHeight="1" spans="1:33">
      <c r="A137" s="51" t="s">
        <v>285</v>
      </c>
      <c r="B137" s="52">
        <v>45592</v>
      </c>
      <c r="C137" s="51" t="s">
        <v>180</v>
      </c>
      <c r="D137" s="51" t="s">
        <v>181</v>
      </c>
      <c r="E137" s="51" t="s">
        <v>128</v>
      </c>
      <c r="F137" s="51" t="s">
        <v>22</v>
      </c>
      <c r="G137" s="51" t="s">
        <v>10</v>
      </c>
      <c r="H137" s="51">
        <v>3</v>
      </c>
      <c r="I137" s="51">
        <v>89.99</v>
      </c>
      <c r="J137" s="51" t="s">
        <v>50</v>
      </c>
      <c r="K137" s="51" t="s">
        <v>11</v>
      </c>
      <c r="L137" s="51" t="s">
        <v>57</v>
      </c>
      <c r="M137" s="53">
        <v>44615</v>
      </c>
      <c r="N137" s="51">
        <v>269.97</v>
      </c>
      <c r="O137" s="51">
        <f>MONTH(Table1[[#This Row],[Date]])</f>
        <v>10</v>
      </c>
      <c r="P137" s="51">
        <f>YEAR(Table1[[#This Row],[Date]])</f>
        <v>2024</v>
      </c>
      <c r="R137" s="51"/>
      <c r="S137" s="52"/>
      <c r="T137" s="52"/>
      <c r="U137" s="51"/>
      <c r="V137" s="51"/>
      <c r="W137" s="51"/>
      <c r="X137" s="10"/>
      <c r="Y137" s="10"/>
      <c r="Z137" s="10"/>
      <c r="AA137" s="10"/>
      <c r="AB137" s="10"/>
      <c r="AC137" s="10"/>
      <c r="AD137" s="57"/>
      <c r="AE137" s="10"/>
      <c r="AF137" s="10"/>
      <c r="AG137" s="10"/>
    </row>
    <row r="138" customHeight="1" spans="1:33">
      <c r="A138" s="51" t="s">
        <v>286</v>
      </c>
      <c r="B138" s="52">
        <v>45597</v>
      </c>
      <c r="C138" s="51" t="s">
        <v>42</v>
      </c>
      <c r="D138" s="51" t="s">
        <v>43</v>
      </c>
      <c r="E138" s="51" t="s">
        <v>44</v>
      </c>
      <c r="F138" s="51" t="s">
        <v>24</v>
      </c>
      <c r="G138" s="51" t="s">
        <v>10</v>
      </c>
      <c r="H138" s="51">
        <v>5</v>
      </c>
      <c r="I138" s="51">
        <v>249.99</v>
      </c>
      <c r="J138" s="51" t="s">
        <v>50</v>
      </c>
      <c r="K138" s="51" t="s">
        <v>13</v>
      </c>
      <c r="L138" s="51" t="s">
        <v>57</v>
      </c>
      <c r="M138" s="53">
        <v>44881</v>
      </c>
      <c r="N138" s="51">
        <v>1249.95</v>
      </c>
      <c r="O138" s="51">
        <f>MONTH(Table1[[#This Row],[Date]])</f>
        <v>11</v>
      </c>
      <c r="P138" s="51">
        <f>YEAR(Table1[[#This Row],[Date]])</f>
        <v>2024</v>
      </c>
      <c r="R138" s="51"/>
      <c r="S138" s="52"/>
      <c r="T138" s="52"/>
      <c r="U138" s="51"/>
      <c r="V138" s="51"/>
      <c r="W138" s="51"/>
      <c r="X138" s="10"/>
      <c r="Y138" s="10"/>
      <c r="Z138" s="10"/>
      <c r="AA138" s="10"/>
      <c r="AB138" s="10"/>
      <c r="AC138" s="10"/>
      <c r="AD138" s="57"/>
      <c r="AE138" s="10"/>
      <c r="AF138" s="10"/>
      <c r="AG138" s="10"/>
    </row>
    <row r="139" customHeight="1" spans="1:33">
      <c r="A139" s="51" t="s">
        <v>287</v>
      </c>
      <c r="B139" s="52">
        <v>45600</v>
      </c>
      <c r="C139" s="51" t="s">
        <v>79</v>
      </c>
      <c r="D139" s="51" t="s">
        <v>80</v>
      </c>
      <c r="E139" s="51" t="s">
        <v>118</v>
      </c>
      <c r="F139" s="51" t="s">
        <v>20</v>
      </c>
      <c r="G139" s="51" t="s">
        <v>12</v>
      </c>
      <c r="H139" s="51">
        <v>3</v>
      </c>
      <c r="I139" s="51">
        <v>299.99</v>
      </c>
      <c r="J139" s="51" t="s">
        <v>50</v>
      </c>
      <c r="K139" s="51" t="s">
        <v>13</v>
      </c>
      <c r="L139" s="51" t="s">
        <v>57</v>
      </c>
      <c r="M139" s="53">
        <v>44502</v>
      </c>
      <c r="N139" s="51">
        <v>899.97</v>
      </c>
      <c r="O139" s="51">
        <f>MONTH(Table1[[#This Row],[Date]])</f>
        <v>11</v>
      </c>
      <c r="P139" s="51">
        <f>YEAR(Table1[[#This Row],[Date]])</f>
        <v>2024</v>
      </c>
      <c r="R139" s="51"/>
      <c r="S139" s="52"/>
      <c r="T139" s="52"/>
      <c r="U139" s="51"/>
      <c r="V139" s="51"/>
      <c r="W139" s="51"/>
      <c r="X139" s="10"/>
      <c r="Y139" s="10"/>
      <c r="Z139" s="10"/>
      <c r="AA139" s="10"/>
      <c r="AB139" s="10"/>
      <c r="AC139" s="10"/>
      <c r="AD139" s="57"/>
      <c r="AE139" s="10"/>
      <c r="AF139" s="10"/>
      <c r="AG139" s="10"/>
    </row>
    <row r="140" customHeight="1" spans="1:33">
      <c r="A140" s="51" t="s">
        <v>288</v>
      </c>
      <c r="B140" s="52">
        <v>45603</v>
      </c>
      <c r="C140" s="51" t="s">
        <v>112</v>
      </c>
      <c r="D140" s="51" t="s">
        <v>113</v>
      </c>
      <c r="E140" s="51" t="s">
        <v>128</v>
      </c>
      <c r="F140" s="51" t="s">
        <v>22</v>
      </c>
      <c r="G140" s="51" t="s">
        <v>10</v>
      </c>
      <c r="H140" s="51">
        <v>3</v>
      </c>
      <c r="I140" s="51">
        <v>89.99</v>
      </c>
      <c r="J140" s="51" t="s">
        <v>50</v>
      </c>
      <c r="K140" s="51" t="s">
        <v>11</v>
      </c>
      <c r="L140" s="51" t="s">
        <v>51</v>
      </c>
      <c r="M140" s="53">
        <v>44420</v>
      </c>
      <c r="N140" s="51">
        <v>269.97</v>
      </c>
      <c r="O140" s="51">
        <f>MONTH(Table1[[#This Row],[Date]])</f>
        <v>11</v>
      </c>
      <c r="P140" s="51">
        <f>YEAR(Table1[[#This Row],[Date]])</f>
        <v>2024</v>
      </c>
      <c r="R140" s="51"/>
      <c r="S140" s="52"/>
      <c r="T140" s="52"/>
      <c r="U140" s="51"/>
      <c r="V140" s="51"/>
      <c r="W140" s="51"/>
      <c r="X140" s="10"/>
      <c r="Y140" s="10"/>
      <c r="Z140" s="10"/>
      <c r="AA140" s="10"/>
      <c r="AB140" s="10"/>
      <c r="AC140" s="10"/>
      <c r="AD140" s="57"/>
      <c r="AE140" s="10"/>
      <c r="AF140" s="10"/>
      <c r="AG140" s="10"/>
    </row>
    <row r="141" customHeight="1" spans="1:33">
      <c r="A141" s="51" t="s">
        <v>289</v>
      </c>
      <c r="B141" s="52">
        <v>45604</v>
      </c>
      <c r="C141" s="51" t="s">
        <v>102</v>
      </c>
      <c r="D141" s="51" t="s">
        <v>103</v>
      </c>
      <c r="E141" s="51" t="s">
        <v>64</v>
      </c>
      <c r="F141" s="51" t="s">
        <v>18</v>
      </c>
      <c r="G141" s="51" t="s">
        <v>12</v>
      </c>
      <c r="H141" s="51">
        <v>2</v>
      </c>
      <c r="I141" s="51">
        <v>149.99</v>
      </c>
      <c r="J141" s="51" t="s">
        <v>50</v>
      </c>
      <c r="K141" s="51" t="s">
        <v>15</v>
      </c>
      <c r="L141" s="51" t="s">
        <v>51</v>
      </c>
      <c r="M141" s="53">
        <v>44848</v>
      </c>
      <c r="N141" s="51">
        <v>299.98</v>
      </c>
      <c r="O141" s="51">
        <f>MONTH(Table1[[#This Row],[Date]])</f>
        <v>11</v>
      </c>
      <c r="P141" s="51">
        <f>YEAR(Table1[[#This Row],[Date]])</f>
        <v>2024</v>
      </c>
      <c r="R141" s="51"/>
      <c r="S141" s="52"/>
      <c r="T141" s="52"/>
      <c r="U141" s="51"/>
      <c r="V141" s="51"/>
      <c r="W141" s="51"/>
      <c r="X141" s="10"/>
      <c r="Y141" s="10"/>
      <c r="Z141" s="10"/>
      <c r="AA141" s="10"/>
      <c r="AB141" s="10"/>
      <c r="AC141" s="10"/>
      <c r="AD141" s="57"/>
      <c r="AE141" s="10"/>
      <c r="AF141" s="10"/>
      <c r="AG141" s="10"/>
    </row>
    <row r="142" customHeight="1" spans="1:33">
      <c r="A142" s="51" t="s">
        <v>290</v>
      </c>
      <c r="B142" s="52">
        <v>45605</v>
      </c>
      <c r="C142" s="51" t="s">
        <v>194</v>
      </c>
      <c r="D142" s="51" t="s">
        <v>195</v>
      </c>
      <c r="E142" s="51" t="s">
        <v>44</v>
      </c>
      <c r="F142" s="51" t="s">
        <v>24</v>
      </c>
      <c r="G142" s="51" t="s">
        <v>10</v>
      </c>
      <c r="H142" s="51">
        <v>1</v>
      </c>
      <c r="I142" s="51">
        <v>249.99</v>
      </c>
      <c r="J142" s="51" t="s">
        <v>50</v>
      </c>
      <c r="K142" s="51" t="s">
        <v>11</v>
      </c>
      <c r="L142" s="51" t="s">
        <v>51</v>
      </c>
      <c r="M142" s="53">
        <v>44828</v>
      </c>
      <c r="N142" s="51">
        <v>249.99</v>
      </c>
      <c r="O142" s="51">
        <f>MONTH(Table1[[#This Row],[Date]])</f>
        <v>11</v>
      </c>
      <c r="P142" s="51">
        <f>YEAR(Table1[[#This Row],[Date]])</f>
        <v>2024</v>
      </c>
      <c r="R142" s="51"/>
      <c r="S142" s="52"/>
      <c r="T142" s="52"/>
      <c r="U142" s="51"/>
      <c r="V142" s="51"/>
      <c r="W142" s="51"/>
      <c r="X142" s="10"/>
      <c r="Y142" s="10"/>
      <c r="Z142" s="10"/>
      <c r="AA142" s="10"/>
      <c r="AB142" s="10"/>
      <c r="AC142" s="10"/>
      <c r="AD142" s="57"/>
      <c r="AE142" s="10"/>
      <c r="AF142" s="10"/>
      <c r="AG142" s="10"/>
    </row>
    <row r="143" customHeight="1" spans="1:33">
      <c r="A143" s="51" t="s">
        <v>291</v>
      </c>
      <c r="B143" s="52">
        <v>45607</v>
      </c>
      <c r="C143" s="51" t="s">
        <v>86</v>
      </c>
      <c r="D143" s="51" t="s">
        <v>87</v>
      </c>
      <c r="E143" s="51" t="s">
        <v>69</v>
      </c>
      <c r="F143" s="51" t="s">
        <v>21</v>
      </c>
      <c r="G143" s="51" t="s">
        <v>10</v>
      </c>
      <c r="H143" s="51">
        <v>3</v>
      </c>
      <c r="I143" s="51">
        <v>149.99</v>
      </c>
      <c r="J143" s="51" t="s">
        <v>45</v>
      </c>
      <c r="K143" s="51" t="s">
        <v>11</v>
      </c>
      <c r="L143" s="51" t="s">
        <v>46</v>
      </c>
      <c r="M143" s="53">
        <v>44769</v>
      </c>
      <c r="N143" s="51">
        <v>449.97</v>
      </c>
      <c r="O143" s="51">
        <f>MONTH(Table1[[#This Row],[Date]])</f>
        <v>11</v>
      </c>
      <c r="P143" s="51">
        <f>YEAR(Table1[[#This Row],[Date]])</f>
        <v>2024</v>
      </c>
      <c r="R143" s="51"/>
      <c r="S143" s="52"/>
      <c r="T143" s="52"/>
      <c r="U143" s="51"/>
      <c r="V143" s="51"/>
      <c r="W143" s="51"/>
      <c r="X143" s="10"/>
      <c r="Y143" s="10"/>
      <c r="Z143" s="10"/>
      <c r="AA143" s="10"/>
      <c r="AB143" s="10"/>
      <c r="AC143" s="10"/>
      <c r="AD143" s="57"/>
      <c r="AE143" s="10"/>
      <c r="AF143" s="10"/>
      <c r="AG143" s="10"/>
    </row>
    <row r="144" customHeight="1" spans="1:33">
      <c r="A144" s="51" t="s">
        <v>292</v>
      </c>
      <c r="B144" s="52">
        <v>45607</v>
      </c>
      <c r="C144" s="51" t="s">
        <v>42</v>
      </c>
      <c r="D144" s="51" t="s">
        <v>43</v>
      </c>
      <c r="E144" s="51" t="s">
        <v>55</v>
      </c>
      <c r="F144" s="51" t="s">
        <v>17</v>
      </c>
      <c r="G144" s="51" t="s">
        <v>8</v>
      </c>
      <c r="H144" s="51">
        <v>5</v>
      </c>
      <c r="I144" s="51">
        <v>59.99</v>
      </c>
      <c r="J144" s="51" t="s">
        <v>56</v>
      </c>
      <c r="K144" s="51" t="s">
        <v>15</v>
      </c>
      <c r="L144" s="51" t="s">
        <v>51</v>
      </c>
      <c r="M144" s="53">
        <v>44694</v>
      </c>
      <c r="N144" s="51">
        <v>299.95</v>
      </c>
      <c r="O144" s="51">
        <f>MONTH(Table1[[#This Row],[Date]])</f>
        <v>11</v>
      </c>
      <c r="P144" s="51">
        <f>YEAR(Table1[[#This Row],[Date]])</f>
        <v>2024</v>
      </c>
      <c r="R144" s="51"/>
      <c r="S144" s="52"/>
      <c r="T144" s="52"/>
      <c r="U144" s="51"/>
      <c r="V144" s="51"/>
      <c r="W144" s="51"/>
      <c r="X144" s="10"/>
      <c r="Y144" s="10"/>
      <c r="Z144" s="10"/>
      <c r="AA144" s="10"/>
      <c r="AB144" s="10"/>
      <c r="AC144" s="10"/>
      <c r="AD144" s="57"/>
      <c r="AE144" s="10"/>
      <c r="AF144" s="10"/>
      <c r="AG144" s="10"/>
    </row>
    <row r="145" customHeight="1" spans="1:33">
      <c r="A145" s="51" t="s">
        <v>293</v>
      </c>
      <c r="B145" s="52">
        <v>45607</v>
      </c>
      <c r="C145" s="51" t="s">
        <v>112</v>
      </c>
      <c r="D145" s="51" t="s">
        <v>113</v>
      </c>
      <c r="E145" s="51" t="s">
        <v>44</v>
      </c>
      <c r="F145" s="51" t="s">
        <v>24</v>
      </c>
      <c r="G145" s="51" t="s">
        <v>10</v>
      </c>
      <c r="H145" s="51">
        <v>4</v>
      </c>
      <c r="I145" s="51">
        <v>249.99</v>
      </c>
      <c r="J145" s="51" t="s">
        <v>50</v>
      </c>
      <c r="K145" s="51" t="s">
        <v>15</v>
      </c>
      <c r="L145" s="51" t="s">
        <v>57</v>
      </c>
      <c r="M145" s="53">
        <v>44659</v>
      </c>
      <c r="N145" s="51">
        <v>999.96</v>
      </c>
      <c r="O145" s="51">
        <f>MONTH(Table1[[#This Row],[Date]])</f>
        <v>11</v>
      </c>
      <c r="P145" s="51">
        <f>YEAR(Table1[[#This Row],[Date]])</f>
        <v>2024</v>
      </c>
      <c r="R145" s="51"/>
      <c r="S145" s="52"/>
      <c r="T145" s="52"/>
      <c r="U145" s="51"/>
      <c r="V145" s="51"/>
      <c r="W145" s="51"/>
      <c r="X145" s="10"/>
      <c r="Y145" s="10"/>
      <c r="Z145" s="10"/>
      <c r="AA145" s="10"/>
      <c r="AB145" s="10"/>
      <c r="AC145" s="10"/>
      <c r="AD145" s="57"/>
      <c r="AE145" s="10"/>
      <c r="AF145" s="10"/>
      <c r="AG145" s="10"/>
    </row>
    <row r="146" customHeight="1" spans="1:33">
      <c r="A146" s="51" t="s">
        <v>294</v>
      </c>
      <c r="B146" s="52">
        <v>45608</v>
      </c>
      <c r="C146" s="51" t="s">
        <v>163</v>
      </c>
      <c r="D146" s="51" t="s">
        <v>164</v>
      </c>
      <c r="E146" s="51" t="s">
        <v>64</v>
      </c>
      <c r="F146" s="51" t="s">
        <v>18</v>
      </c>
      <c r="G146" s="51" t="s">
        <v>12</v>
      </c>
      <c r="H146" s="51">
        <v>5</v>
      </c>
      <c r="I146" s="51">
        <v>149.99</v>
      </c>
      <c r="J146" s="51" t="s">
        <v>56</v>
      </c>
      <c r="K146" s="51" t="s">
        <v>7</v>
      </c>
      <c r="L146" s="51" t="s">
        <v>46</v>
      </c>
      <c r="M146" s="53">
        <v>44901</v>
      </c>
      <c r="N146" s="51">
        <v>749.95</v>
      </c>
      <c r="O146" s="51">
        <f>MONTH(Table1[[#This Row],[Date]])</f>
        <v>11</v>
      </c>
      <c r="P146" s="51">
        <f>YEAR(Table1[[#This Row],[Date]])</f>
        <v>2024</v>
      </c>
      <c r="R146" s="51"/>
      <c r="S146" s="52"/>
      <c r="T146" s="52"/>
      <c r="U146" s="51"/>
      <c r="V146" s="51"/>
      <c r="W146" s="51"/>
      <c r="X146" s="10"/>
      <c r="Y146" s="10"/>
      <c r="Z146" s="10"/>
      <c r="AA146" s="10"/>
      <c r="AB146" s="10"/>
      <c r="AC146" s="10"/>
      <c r="AD146" s="57"/>
      <c r="AE146" s="10"/>
      <c r="AF146" s="10"/>
      <c r="AG146" s="10"/>
    </row>
    <row r="147" customHeight="1" spans="1:33">
      <c r="A147" s="51" t="s">
        <v>295</v>
      </c>
      <c r="B147" s="52">
        <v>45608</v>
      </c>
      <c r="C147" s="51" t="s">
        <v>96</v>
      </c>
      <c r="D147" s="51" t="s">
        <v>97</v>
      </c>
      <c r="E147" s="51" t="s">
        <v>55</v>
      </c>
      <c r="F147" s="51" t="s">
        <v>17</v>
      </c>
      <c r="G147" s="51" t="s">
        <v>8</v>
      </c>
      <c r="H147" s="51">
        <v>3</v>
      </c>
      <c r="I147" s="51">
        <v>59.99</v>
      </c>
      <c r="J147" s="51" t="s">
        <v>73</v>
      </c>
      <c r="K147" s="51" t="s">
        <v>13</v>
      </c>
      <c r="L147" s="51" t="s">
        <v>57</v>
      </c>
      <c r="M147" s="53">
        <v>45260</v>
      </c>
      <c r="N147" s="51">
        <v>179.97</v>
      </c>
      <c r="O147" s="51">
        <f>MONTH(Table1[[#This Row],[Date]])</f>
        <v>11</v>
      </c>
      <c r="P147" s="51">
        <f>YEAR(Table1[[#This Row],[Date]])</f>
        <v>2024</v>
      </c>
      <c r="R147" s="51"/>
      <c r="S147" s="52"/>
      <c r="T147" s="52"/>
      <c r="U147" s="51"/>
      <c r="V147" s="51"/>
      <c r="W147" s="51"/>
      <c r="X147" s="10"/>
      <c r="Y147" s="10"/>
      <c r="Z147" s="10"/>
      <c r="AA147" s="10"/>
      <c r="AB147" s="10"/>
      <c r="AC147" s="10"/>
      <c r="AD147" s="57"/>
      <c r="AE147" s="10"/>
      <c r="AF147" s="10"/>
      <c r="AG147" s="10"/>
    </row>
    <row r="148" customHeight="1" spans="1:33">
      <c r="A148" s="51" t="s">
        <v>296</v>
      </c>
      <c r="B148" s="52">
        <v>45613</v>
      </c>
      <c r="C148" s="51" t="s">
        <v>243</v>
      </c>
      <c r="D148" s="51" t="s">
        <v>244</v>
      </c>
      <c r="E148" s="51" t="s">
        <v>64</v>
      </c>
      <c r="F148" s="51" t="s">
        <v>18</v>
      </c>
      <c r="G148" s="51" t="s">
        <v>12</v>
      </c>
      <c r="H148" s="51">
        <v>5</v>
      </c>
      <c r="I148" s="51">
        <v>149.99</v>
      </c>
      <c r="J148" s="51" t="s">
        <v>45</v>
      </c>
      <c r="K148" s="51" t="s">
        <v>11</v>
      </c>
      <c r="L148" s="51" t="s">
        <v>46</v>
      </c>
      <c r="M148" s="53">
        <v>44869</v>
      </c>
      <c r="N148" s="51">
        <v>749.95</v>
      </c>
      <c r="O148" s="51">
        <f>MONTH(Table1[[#This Row],[Date]])</f>
        <v>11</v>
      </c>
      <c r="P148" s="51">
        <f>YEAR(Table1[[#This Row],[Date]])</f>
        <v>2024</v>
      </c>
      <c r="R148" s="51"/>
      <c r="S148" s="52"/>
      <c r="T148" s="52"/>
      <c r="U148" s="51"/>
      <c r="V148" s="51"/>
      <c r="W148" s="51"/>
      <c r="X148" s="10"/>
      <c r="Y148" s="10"/>
      <c r="Z148" s="10"/>
      <c r="AA148" s="10"/>
      <c r="AB148" s="10"/>
      <c r="AC148" s="10"/>
      <c r="AD148" s="57"/>
      <c r="AE148" s="10"/>
      <c r="AF148" s="10"/>
      <c r="AG148" s="10"/>
    </row>
    <row r="149" customHeight="1" spans="1:33">
      <c r="A149" s="51" t="s">
        <v>297</v>
      </c>
      <c r="B149" s="52">
        <v>45613</v>
      </c>
      <c r="C149" s="51" t="s">
        <v>99</v>
      </c>
      <c r="D149" s="51" t="s">
        <v>100</v>
      </c>
      <c r="E149" s="51" t="s">
        <v>94</v>
      </c>
      <c r="F149" s="51" t="s">
        <v>26</v>
      </c>
      <c r="G149" s="51" t="s">
        <v>10</v>
      </c>
      <c r="H149" s="51">
        <v>2</v>
      </c>
      <c r="I149" s="51">
        <v>699.99</v>
      </c>
      <c r="J149" s="51" t="s">
        <v>56</v>
      </c>
      <c r="K149" s="51" t="s">
        <v>15</v>
      </c>
      <c r="L149" s="51" t="s">
        <v>57</v>
      </c>
      <c r="M149" s="53">
        <v>44770</v>
      </c>
      <c r="N149" s="51">
        <v>1399.98</v>
      </c>
      <c r="O149" s="51">
        <f>MONTH(Table1[[#This Row],[Date]])</f>
        <v>11</v>
      </c>
      <c r="P149" s="51">
        <f>YEAR(Table1[[#This Row],[Date]])</f>
        <v>2024</v>
      </c>
      <c r="R149" s="51"/>
      <c r="S149" s="52"/>
      <c r="T149" s="52"/>
      <c r="U149" s="51"/>
      <c r="V149" s="51"/>
      <c r="W149" s="51"/>
      <c r="X149" s="10"/>
      <c r="Y149" s="10"/>
      <c r="Z149" s="10"/>
      <c r="AA149" s="10"/>
      <c r="AB149" s="10"/>
      <c r="AC149" s="10"/>
      <c r="AD149" s="57"/>
      <c r="AE149" s="10"/>
      <c r="AF149" s="10"/>
      <c r="AG149" s="10"/>
    </row>
    <row r="150" customHeight="1" spans="1:33">
      <c r="A150" s="51" t="s">
        <v>298</v>
      </c>
      <c r="B150" s="52">
        <v>45617</v>
      </c>
      <c r="C150" s="51" t="s">
        <v>133</v>
      </c>
      <c r="D150" s="51" t="s">
        <v>134</v>
      </c>
      <c r="E150" s="51" t="s">
        <v>136</v>
      </c>
      <c r="F150" s="51" t="s">
        <v>25</v>
      </c>
      <c r="G150" s="51" t="s">
        <v>12</v>
      </c>
      <c r="H150" s="51">
        <v>4</v>
      </c>
      <c r="I150" s="51">
        <v>199.99</v>
      </c>
      <c r="J150" s="51" t="s">
        <v>73</v>
      </c>
      <c r="K150" s="51" t="s">
        <v>7</v>
      </c>
      <c r="L150" s="51" t="s">
        <v>51</v>
      </c>
      <c r="M150" s="53">
        <v>44427</v>
      </c>
      <c r="N150" s="51">
        <v>799.96</v>
      </c>
      <c r="O150" s="51">
        <f>MONTH(Table1[[#This Row],[Date]])</f>
        <v>11</v>
      </c>
      <c r="P150" s="51">
        <f>YEAR(Table1[[#This Row],[Date]])</f>
        <v>2024</v>
      </c>
      <c r="R150" s="51"/>
      <c r="S150" s="52"/>
      <c r="T150" s="52"/>
      <c r="U150" s="51"/>
      <c r="V150" s="51"/>
      <c r="W150" s="51"/>
      <c r="X150" s="10"/>
      <c r="Y150" s="10"/>
      <c r="Z150" s="10"/>
      <c r="AA150" s="10"/>
      <c r="AB150" s="10"/>
      <c r="AC150" s="10"/>
      <c r="AD150" s="57"/>
      <c r="AE150" s="10"/>
      <c r="AF150" s="10"/>
      <c r="AG150" s="10"/>
    </row>
    <row r="151" customHeight="1" spans="1:33">
      <c r="A151" s="51" t="s">
        <v>299</v>
      </c>
      <c r="B151" s="52">
        <v>45619</v>
      </c>
      <c r="C151" s="51" t="s">
        <v>201</v>
      </c>
      <c r="D151" s="51" t="s">
        <v>202</v>
      </c>
      <c r="E151" s="51" t="s">
        <v>55</v>
      </c>
      <c r="F151" s="51" t="s">
        <v>17</v>
      </c>
      <c r="G151" s="51" t="s">
        <v>8</v>
      </c>
      <c r="H151" s="51">
        <v>1</v>
      </c>
      <c r="I151" s="51">
        <v>59.99</v>
      </c>
      <c r="J151" s="51" t="s">
        <v>73</v>
      </c>
      <c r="K151" s="51" t="s">
        <v>15</v>
      </c>
      <c r="L151" s="51" t="s">
        <v>57</v>
      </c>
      <c r="M151" s="53">
        <v>44560</v>
      </c>
      <c r="N151" s="51">
        <v>59.99</v>
      </c>
      <c r="O151" s="51">
        <f>MONTH(Table1[[#This Row],[Date]])</f>
        <v>11</v>
      </c>
      <c r="P151" s="51">
        <f>YEAR(Table1[[#This Row],[Date]])</f>
        <v>2024</v>
      </c>
      <c r="R151" s="51"/>
      <c r="S151" s="52"/>
      <c r="T151" s="52"/>
      <c r="U151" s="51"/>
      <c r="V151" s="51"/>
      <c r="W151" s="51"/>
      <c r="X151" s="10"/>
      <c r="Y151" s="10"/>
      <c r="Z151" s="10"/>
      <c r="AA151" s="10"/>
      <c r="AB151" s="10"/>
      <c r="AC151" s="10"/>
      <c r="AD151" s="57"/>
      <c r="AE151" s="10"/>
      <c r="AF151" s="10"/>
      <c r="AG151" s="10"/>
    </row>
    <row r="152" customHeight="1" spans="1:33">
      <c r="A152" s="51" t="s">
        <v>300</v>
      </c>
      <c r="B152" s="52">
        <v>45619</v>
      </c>
      <c r="C152" s="51" t="s">
        <v>163</v>
      </c>
      <c r="D152" s="51" t="s">
        <v>164</v>
      </c>
      <c r="E152" s="51" t="s">
        <v>94</v>
      </c>
      <c r="F152" s="51" t="s">
        <v>26</v>
      </c>
      <c r="G152" s="51" t="s">
        <v>10</v>
      </c>
      <c r="H152" s="51">
        <v>3</v>
      </c>
      <c r="I152" s="51">
        <v>699.99</v>
      </c>
      <c r="J152" s="51" t="s">
        <v>56</v>
      </c>
      <c r="K152" s="51" t="s">
        <v>15</v>
      </c>
      <c r="L152" s="51" t="s">
        <v>57</v>
      </c>
      <c r="M152" s="53">
        <v>44583</v>
      </c>
      <c r="N152" s="51">
        <v>2099.97</v>
      </c>
      <c r="O152" s="51">
        <f>MONTH(Table1[[#This Row],[Date]])</f>
        <v>11</v>
      </c>
      <c r="P152" s="51">
        <f>YEAR(Table1[[#This Row],[Date]])</f>
        <v>2024</v>
      </c>
      <c r="R152" s="51"/>
      <c r="S152" s="52"/>
      <c r="T152" s="52"/>
      <c r="U152" s="51"/>
      <c r="V152" s="51"/>
      <c r="W152" s="51"/>
      <c r="X152" s="10"/>
      <c r="Y152" s="10"/>
      <c r="Z152" s="10"/>
      <c r="AA152" s="10"/>
      <c r="AB152" s="10"/>
      <c r="AC152" s="10"/>
      <c r="AD152" s="57"/>
      <c r="AE152" s="10"/>
      <c r="AF152" s="10"/>
      <c r="AG152" s="10"/>
    </row>
    <row r="153" customHeight="1" spans="1:33">
      <c r="A153" s="51" t="s">
        <v>301</v>
      </c>
      <c r="B153" s="52">
        <v>45622</v>
      </c>
      <c r="C153" s="51" t="s">
        <v>302</v>
      </c>
      <c r="D153" s="51" t="s">
        <v>303</v>
      </c>
      <c r="E153" s="51" t="s">
        <v>44</v>
      </c>
      <c r="F153" s="51" t="s">
        <v>24</v>
      </c>
      <c r="G153" s="51" t="s">
        <v>10</v>
      </c>
      <c r="H153" s="51">
        <v>5</v>
      </c>
      <c r="I153" s="51">
        <v>249.99</v>
      </c>
      <c r="J153" s="51" t="s">
        <v>50</v>
      </c>
      <c r="K153" s="51" t="s">
        <v>11</v>
      </c>
      <c r="L153" s="51" t="s">
        <v>46</v>
      </c>
      <c r="M153" s="53">
        <v>44873</v>
      </c>
      <c r="N153" s="51">
        <v>1249.95</v>
      </c>
      <c r="O153" s="51">
        <f>MONTH(Table1[[#This Row],[Date]])</f>
        <v>11</v>
      </c>
      <c r="P153" s="51">
        <f>YEAR(Table1[[#This Row],[Date]])</f>
        <v>2024</v>
      </c>
      <c r="R153" s="51"/>
      <c r="S153" s="52"/>
      <c r="T153" s="52"/>
      <c r="U153" s="51"/>
      <c r="V153" s="51"/>
      <c r="W153" s="51"/>
      <c r="X153" s="10"/>
      <c r="Y153" s="10"/>
      <c r="Z153" s="10"/>
      <c r="AA153" s="10"/>
      <c r="AB153" s="10"/>
      <c r="AC153" s="10"/>
      <c r="AD153" s="57"/>
      <c r="AE153" s="10"/>
      <c r="AF153" s="10"/>
      <c r="AG153" s="10"/>
    </row>
    <row r="154" customHeight="1" spans="1:33">
      <c r="A154" s="51" t="s">
        <v>304</v>
      </c>
      <c r="B154" s="52">
        <v>45623</v>
      </c>
      <c r="C154" s="51" t="s">
        <v>124</v>
      </c>
      <c r="D154" s="51" t="s">
        <v>125</v>
      </c>
      <c r="E154" s="51" t="s">
        <v>64</v>
      </c>
      <c r="F154" s="51" t="s">
        <v>18</v>
      </c>
      <c r="G154" s="51" t="s">
        <v>12</v>
      </c>
      <c r="H154" s="51">
        <v>2</v>
      </c>
      <c r="I154" s="51">
        <v>149.99</v>
      </c>
      <c r="J154" s="51" t="s">
        <v>45</v>
      </c>
      <c r="K154" s="51" t="s">
        <v>13</v>
      </c>
      <c r="L154" s="51" t="s">
        <v>57</v>
      </c>
      <c r="M154" s="53">
        <v>45101</v>
      </c>
      <c r="N154" s="51">
        <v>299.98</v>
      </c>
      <c r="O154" s="51">
        <f>MONTH(Table1[[#This Row],[Date]])</f>
        <v>11</v>
      </c>
      <c r="P154" s="51">
        <f>YEAR(Table1[[#This Row],[Date]])</f>
        <v>2024</v>
      </c>
      <c r="R154" s="51"/>
      <c r="S154" s="52"/>
      <c r="T154" s="52"/>
      <c r="U154" s="51"/>
      <c r="V154" s="51"/>
      <c r="W154" s="51"/>
      <c r="X154" s="10"/>
      <c r="Y154" s="10"/>
      <c r="Z154" s="10"/>
      <c r="AA154" s="10"/>
      <c r="AB154" s="10"/>
      <c r="AC154" s="10"/>
      <c r="AD154" s="57"/>
      <c r="AE154" s="10"/>
      <c r="AF154" s="10"/>
      <c r="AG154" s="10"/>
    </row>
    <row r="155" customHeight="1" spans="1:33">
      <c r="A155" s="51" t="s">
        <v>305</v>
      </c>
      <c r="B155" s="52">
        <v>45627</v>
      </c>
      <c r="C155" s="51" t="s">
        <v>53</v>
      </c>
      <c r="D155" s="51" t="s">
        <v>54</v>
      </c>
      <c r="E155" s="51" t="s">
        <v>118</v>
      </c>
      <c r="F155" s="51" t="s">
        <v>20</v>
      </c>
      <c r="G155" s="51" t="s">
        <v>12</v>
      </c>
      <c r="H155" s="51">
        <v>3</v>
      </c>
      <c r="I155" s="51">
        <v>299.99</v>
      </c>
      <c r="J155" s="51" t="s">
        <v>45</v>
      </c>
      <c r="K155" s="51" t="s">
        <v>13</v>
      </c>
      <c r="L155" s="51" t="s">
        <v>51</v>
      </c>
      <c r="M155" s="53">
        <v>44659</v>
      </c>
      <c r="N155" s="51">
        <v>899.97</v>
      </c>
      <c r="O155" s="51">
        <f>MONTH(Table1[[#This Row],[Date]])</f>
        <v>12</v>
      </c>
      <c r="P155" s="51">
        <f>YEAR(Table1[[#This Row],[Date]])</f>
        <v>2024</v>
      </c>
      <c r="R155" s="51"/>
      <c r="S155" s="52"/>
      <c r="T155" s="52"/>
      <c r="U155" s="51"/>
      <c r="V155" s="51"/>
      <c r="W155" s="51"/>
      <c r="X155" s="10"/>
      <c r="Y155" s="10"/>
      <c r="Z155" s="10"/>
      <c r="AA155" s="10"/>
      <c r="AB155" s="10"/>
      <c r="AC155" s="10"/>
      <c r="AD155" s="57"/>
      <c r="AE155" s="10"/>
      <c r="AF155" s="10"/>
      <c r="AG155" s="10"/>
    </row>
    <row r="156" customHeight="1" spans="1:33">
      <c r="A156" s="51" t="s">
        <v>306</v>
      </c>
      <c r="B156" s="52">
        <v>45627</v>
      </c>
      <c r="C156" s="51" t="s">
        <v>71</v>
      </c>
      <c r="D156" s="51" t="s">
        <v>72</v>
      </c>
      <c r="E156" s="51" t="s">
        <v>44</v>
      </c>
      <c r="F156" s="51" t="s">
        <v>24</v>
      </c>
      <c r="G156" s="51" t="s">
        <v>10</v>
      </c>
      <c r="H156" s="51">
        <v>5</v>
      </c>
      <c r="I156" s="51">
        <v>249.99</v>
      </c>
      <c r="J156" s="51" t="s">
        <v>45</v>
      </c>
      <c r="K156" s="51" t="s">
        <v>7</v>
      </c>
      <c r="L156" s="51" t="s">
        <v>51</v>
      </c>
      <c r="M156" s="53">
        <v>44485</v>
      </c>
      <c r="N156" s="51">
        <v>1249.95</v>
      </c>
      <c r="O156" s="51">
        <f>MONTH(Table1[[#This Row],[Date]])</f>
        <v>12</v>
      </c>
      <c r="P156" s="51">
        <f>YEAR(Table1[[#This Row],[Date]])</f>
        <v>2024</v>
      </c>
      <c r="R156" s="51"/>
      <c r="S156" s="52"/>
      <c r="T156" s="52"/>
      <c r="U156" s="51"/>
      <c r="V156" s="51"/>
      <c r="W156" s="51"/>
      <c r="X156" s="10"/>
      <c r="Y156" s="10"/>
      <c r="Z156" s="10"/>
      <c r="AA156" s="10"/>
      <c r="AB156" s="10"/>
      <c r="AC156" s="10"/>
      <c r="AD156" s="57"/>
      <c r="AE156" s="10"/>
      <c r="AF156" s="10"/>
      <c r="AG156" s="10"/>
    </row>
    <row r="157" customHeight="1" spans="1:33">
      <c r="A157" s="51" t="s">
        <v>307</v>
      </c>
      <c r="B157" s="52">
        <v>45627</v>
      </c>
      <c r="C157" s="51" t="s">
        <v>48</v>
      </c>
      <c r="D157" s="51" t="s">
        <v>49</v>
      </c>
      <c r="E157" s="51" t="s">
        <v>69</v>
      </c>
      <c r="F157" s="51" t="s">
        <v>21</v>
      </c>
      <c r="G157" s="51" t="s">
        <v>10</v>
      </c>
      <c r="H157" s="51">
        <v>2</v>
      </c>
      <c r="I157" s="51">
        <v>149.99</v>
      </c>
      <c r="J157" s="51" t="s">
        <v>45</v>
      </c>
      <c r="K157" s="51" t="s">
        <v>13</v>
      </c>
      <c r="L157" s="51" t="s">
        <v>51</v>
      </c>
      <c r="M157" s="53">
        <v>44475</v>
      </c>
      <c r="N157" s="51">
        <v>299.98</v>
      </c>
      <c r="O157" s="51">
        <f>MONTH(Table1[[#This Row],[Date]])</f>
        <v>12</v>
      </c>
      <c r="P157" s="51">
        <f>YEAR(Table1[[#This Row],[Date]])</f>
        <v>2024</v>
      </c>
      <c r="R157" s="51"/>
      <c r="S157" s="52"/>
      <c r="T157" s="52"/>
      <c r="U157" s="51"/>
      <c r="V157" s="51"/>
      <c r="W157" s="51"/>
      <c r="X157" s="10"/>
      <c r="Y157" s="10"/>
      <c r="Z157" s="10"/>
      <c r="AA157" s="10"/>
      <c r="AB157" s="10"/>
      <c r="AC157" s="10"/>
      <c r="AD157" s="57"/>
      <c r="AE157" s="10"/>
      <c r="AF157" s="10"/>
      <c r="AG157" s="10"/>
    </row>
    <row r="158" customHeight="1" spans="1:33">
      <c r="A158" s="51" t="s">
        <v>308</v>
      </c>
      <c r="B158" s="52">
        <v>45627</v>
      </c>
      <c r="C158" s="51" t="s">
        <v>99</v>
      </c>
      <c r="D158" s="51" t="s">
        <v>100</v>
      </c>
      <c r="E158" s="51" t="s">
        <v>94</v>
      </c>
      <c r="F158" s="51" t="s">
        <v>26</v>
      </c>
      <c r="G158" s="51" t="s">
        <v>10</v>
      </c>
      <c r="H158" s="51">
        <v>5</v>
      </c>
      <c r="I158" s="51">
        <v>699.99</v>
      </c>
      <c r="J158" s="51" t="s">
        <v>73</v>
      </c>
      <c r="K158" s="51" t="s">
        <v>15</v>
      </c>
      <c r="L158" s="51" t="s">
        <v>57</v>
      </c>
      <c r="M158" s="53">
        <v>44944</v>
      </c>
      <c r="N158" s="51">
        <v>3499.95</v>
      </c>
      <c r="O158" s="51">
        <f>MONTH(Table1[[#This Row],[Date]])</f>
        <v>12</v>
      </c>
      <c r="P158" s="51">
        <f>YEAR(Table1[[#This Row],[Date]])</f>
        <v>2024</v>
      </c>
      <c r="R158" s="51"/>
      <c r="S158" s="52"/>
      <c r="T158" s="52"/>
      <c r="U158" s="51"/>
      <c r="V158" s="51"/>
      <c r="W158" s="51"/>
      <c r="X158" s="10"/>
      <c r="Y158" s="10"/>
      <c r="Z158" s="10"/>
      <c r="AA158" s="10"/>
      <c r="AB158" s="10"/>
      <c r="AC158" s="10"/>
      <c r="AD158" s="57"/>
      <c r="AE158" s="10"/>
      <c r="AF158" s="10"/>
      <c r="AG158" s="10"/>
    </row>
    <row r="159" customHeight="1" spans="1:33">
      <c r="A159" s="51" t="s">
        <v>309</v>
      </c>
      <c r="B159" s="52">
        <v>45629</v>
      </c>
      <c r="C159" s="51" t="s">
        <v>261</v>
      </c>
      <c r="D159" s="51" t="s">
        <v>262</v>
      </c>
      <c r="E159" s="51" t="s">
        <v>44</v>
      </c>
      <c r="F159" s="51" t="s">
        <v>24</v>
      </c>
      <c r="G159" s="51" t="s">
        <v>10</v>
      </c>
      <c r="H159" s="51">
        <v>4</v>
      </c>
      <c r="I159" s="51">
        <v>249.99</v>
      </c>
      <c r="J159" s="51" t="s">
        <v>56</v>
      </c>
      <c r="K159" s="51" t="s">
        <v>9</v>
      </c>
      <c r="L159" s="51" t="s">
        <v>51</v>
      </c>
      <c r="M159" s="53">
        <v>45098</v>
      </c>
      <c r="N159" s="51">
        <v>999.96</v>
      </c>
      <c r="O159" s="51">
        <f>MONTH(Table1[[#This Row],[Date]])</f>
        <v>12</v>
      </c>
      <c r="P159" s="51">
        <f>YEAR(Table1[[#This Row],[Date]])</f>
        <v>2024</v>
      </c>
      <c r="R159" s="51"/>
      <c r="S159" s="52"/>
      <c r="T159" s="52"/>
      <c r="U159" s="51"/>
      <c r="V159" s="51"/>
      <c r="W159" s="51"/>
      <c r="X159" s="10"/>
      <c r="Y159" s="10"/>
      <c r="Z159" s="10"/>
      <c r="AA159" s="10"/>
      <c r="AB159" s="10"/>
      <c r="AC159" s="10"/>
      <c r="AD159" s="57"/>
      <c r="AE159" s="10"/>
      <c r="AF159" s="10"/>
      <c r="AG159" s="10"/>
    </row>
    <row r="160" customHeight="1" spans="1:33">
      <c r="A160" s="51" t="s">
        <v>310</v>
      </c>
      <c r="B160" s="52">
        <v>45630</v>
      </c>
      <c r="C160" s="51" t="s">
        <v>66</v>
      </c>
      <c r="D160" s="51" t="s">
        <v>67</v>
      </c>
      <c r="E160" s="51" t="s">
        <v>94</v>
      </c>
      <c r="F160" s="51" t="s">
        <v>26</v>
      </c>
      <c r="G160" s="51" t="s">
        <v>10</v>
      </c>
      <c r="H160" s="51">
        <v>4</v>
      </c>
      <c r="I160" s="51">
        <v>699.99</v>
      </c>
      <c r="J160" s="51" t="s">
        <v>50</v>
      </c>
      <c r="K160" s="51" t="s">
        <v>11</v>
      </c>
      <c r="L160" s="51" t="s">
        <v>51</v>
      </c>
      <c r="M160" s="53">
        <v>44703</v>
      </c>
      <c r="N160" s="51">
        <v>2799.96</v>
      </c>
      <c r="O160" s="51">
        <f>MONTH(Table1[[#This Row],[Date]])</f>
        <v>12</v>
      </c>
      <c r="P160" s="51">
        <f>YEAR(Table1[[#This Row],[Date]])</f>
        <v>2024</v>
      </c>
      <c r="R160" s="51"/>
      <c r="S160" s="52"/>
      <c r="T160" s="52"/>
      <c r="U160" s="51"/>
      <c r="V160" s="51"/>
      <c r="W160" s="51"/>
      <c r="X160" s="10"/>
      <c r="Y160" s="10"/>
      <c r="Z160" s="10"/>
      <c r="AA160" s="10"/>
      <c r="AB160" s="10"/>
      <c r="AC160" s="10"/>
      <c r="AD160" s="57"/>
      <c r="AE160" s="10"/>
      <c r="AF160" s="10"/>
      <c r="AG160" s="10"/>
    </row>
    <row r="161" customHeight="1" spans="1:33">
      <c r="A161" s="51" t="s">
        <v>311</v>
      </c>
      <c r="B161" s="52">
        <v>45635</v>
      </c>
      <c r="C161" s="51" t="s">
        <v>120</v>
      </c>
      <c r="D161" s="51" t="s">
        <v>121</v>
      </c>
      <c r="E161" s="51" t="s">
        <v>44</v>
      </c>
      <c r="F161" s="51" t="s">
        <v>24</v>
      </c>
      <c r="G161" s="51" t="s">
        <v>10</v>
      </c>
      <c r="H161" s="51">
        <v>2</v>
      </c>
      <c r="I161" s="51">
        <v>249.99</v>
      </c>
      <c r="J161" s="51" t="s">
        <v>50</v>
      </c>
      <c r="K161" s="51" t="s">
        <v>7</v>
      </c>
      <c r="L161" s="51" t="s">
        <v>51</v>
      </c>
      <c r="M161" s="53">
        <v>44396</v>
      </c>
      <c r="N161" s="51">
        <v>499.98</v>
      </c>
      <c r="O161" s="51">
        <f>MONTH(Table1[[#This Row],[Date]])</f>
        <v>12</v>
      </c>
      <c r="P161" s="51">
        <f>YEAR(Table1[[#This Row],[Date]])</f>
        <v>2024</v>
      </c>
      <c r="R161" s="51"/>
      <c r="S161" s="52"/>
      <c r="T161" s="52"/>
      <c r="U161" s="51"/>
      <c r="V161" s="51"/>
      <c r="W161" s="51"/>
      <c r="X161" s="10"/>
      <c r="Y161" s="10"/>
      <c r="Z161" s="10"/>
      <c r="AA161" s="10"/>
      <c r="AB161" s="10"/>
      <c r="AC161" s="10"/>
      <c r="AD161" s="57"/>
      <c r="AE161" s="10"/>
      <c r="AF161" s="10"/>
      <c r="AG161" s="10"/>
    </row>
    <row r="162" customHeight="1" spans="1:33">
      <c r="A162" s="51" t="s">
        <v>312</v>
      </c>
      <c r="B162" s="52">
        <v>45635</v>
      </c>
      <c r="C162" s="51" t="s">
        <v>313</v>
      </c>
      <c r="D162" s="51" t="s">
        <v>314</v>
      </c>
      <c r="E162" s="51" t="s">
        <v>55</v>
      </c>
      <c r="F162" s="51" t="s">
        <v>17</v>
      </c>
      <c r="G162" s="51" t="s">
        <v>8</v>
      </c>
      <c r="H162" s="51">
        <v>3</v>
      </c>
      <c r="I162" s="51">
        <v>59.99</v>
      </c>
      <c r="J162" s="51" t="s">
        <v>45</v>
      </c>
      <c r="K162" s="51" t="s">
        <v>7</v>
      </c>
      <c r="L162" s="51" t="s">
        <v>51</v>
      </c>
      <c r="M162" s="53">
        <v>45052</v>
      </c>
      <c r="N162" s="51">
        <v>179.97</v>
      </c>
      <c r="O162" s="51">
        <f>MONTH(Table1[[#This Row],[Date]])</f>
        <v>12</v>
      </c>
      <c r="P162" s="51">
        <f>YEAR(Table1[[#This Row],[Date]])</f>
        <v>2024</v>
      </c>
      <c r="R162" s="51"/>
      <c r="S162" s="52"/>
      <c r="T162" s="52"/>
      <c r="U162" s="51"/>
      <c r="V162" s="51"/>
      <c r="W162" s="51"/>
      <c r="X162" s="10"/>
      <c r="Y162" s="10"/>
      <c r="Z162" s="10"/>
      <c r="AA162" s="10"/>
      <c r="AB162" s="10"/>
      <c r="AC162" s="10"/>
      <c r="AD162" s="57"/>
      <c r="AE162" s="10"/>
      <c r="AF162" s="10"/>
      <c r="AG162" s="10"/>
    </row>
    <row r="163" customHeight="1" spans="1:33">
      <c r="A163" s="51" t="s">
        <v>315</v>
      </c>
      <c r="B163" s="52">
        <v>45635</v>
      </c>
      <c r="C163" s="51" t="s">
        <v>150</v>
      </c>
      <c r="D163" s="51" t="s">
        <v>151</v>
      </c>
      <c r="E163" s="51" t="s">
        <v>126</v>
      </c>
      <c r="F163" s="51" t="s">
        <v>19</v>
      </c>
      <c r="G163" s="51" t="s">
        <v>8</v>
      </c>
      <c r="H163" s="51">
        <v>4</v>
      </c>
      <c r="I163" s="51">
        <v>79.99</v>
      </c>
      <c r="J163" s="51" t="s">
        <v>73</v>
      </c>
      <c r="K163" s="51" t="s">
        <v>9</v>
      </c>
      <c r="L163" s="51" t="s">
        <v>57</v>
      </c>
      <c r="M163" s="53">
        <v>44921</v>
      </c>
      <c r="N163" s="51">
        <v>319.96</v>
      </c>
      <c r="O163" s="51">
        <f>MONTH(Table1[[#This Row],[Date]])</f>
        <v>12</v>
      </c>
      <c r="P163" s="51">
        <f>YEAR(Table1[[#This Row],[Date]])</f>
        <v>2024</v>
      </c>
      <c r="R163" s="51"/>
      <c r="S163" s="52"/>
      <c r="T163" s="52"/>
      <c r="U163" s="51"/>
      <c r="V163" s="51"/>
      <c r="W163" s="51"/>
      <c r="X163" s="10"/>
      <c r="Y163" s="10"/>
      <c r="Z163" s="10"/>
      <c r="AA163" s="10"/>
      <c r="AB163" s="10"/>
      <c r="AC163" s="10"/>
      <c r="AD163" s="57"/>
      <c r="AE163" s="10"/>
      <c r="AF163" s="10"/>
      <c r="AG163" s="10"/>
    </row>
    <row r="164" customHeight="1" spans="1:33">
      <c r="A164" s="51" t="s">
        <v>316</v>
      </c>
      <c r="B164" s="52">
        <v>45636</v>
      </c>
      <c r="C164" s="51" t="s">
        <v>130</v>
      </c>
      <c r="D164" s="51" t="s">
        <v>131</v>
      </c>
      <c r="E164" s="51" t="s">
        <v>126</v>
      </c>
      <c r="F164" s="51" t="s">
        <v>19</v>
      </c>
      <c r="G164" s="51" t="s">
        <v>8</v>
      </c>
      <c r="H164" s="51">
        <v>3</v>
      </c>
      <c r="I164" s="51">
        <v>79.99</v>
      </c>
      <c r="J164" s="51" t="s">
        <v>73</v>
      </c>
      <c r="K164" s="51" t="s">
        <v>9</v>
      </c>
      <c r="L164" s="51" t="s">
        <v>57</v>
      </c>
      <c r="M164" s="53">
        <v>44779</v>
      </c>
      <c r="N164" s="51">
        <v>239.97</v>
      </c>
      <c r="O164" s="51">
        <f>MONTH(Table1[[#This Row],[Date]])</f>
        <v>12</v>
      </c>
      <c r="P164" s="51">
        <f>YEAR(Table1[[#This Row],[Date]])</f>
        <v>2024</v>
      </c>
      <c r="R164" s="51"/>
      <c r="S164" s="52"/>
      <c r="T164" s="52"/>
      <c r="U164" s="51"/>
      <c r="V164" s="51"/>
      <c r="W164" s="51"/>
      <c r="X164" s="10"/>
      <c r="Y164" s="10"/>
      <c r="Z164" s="10"/>
      <c r="AA164" s="10"/>
      <c r="AB164" s="10"/>
      <c r="AC164" s="10"/>
      <c r="AD164" s="57"/>
      <c r="AE164" s="10"/>
      <c r="AF164" s="10"/>
      <c r="AG164" s="10"/>
    </row>
    <row r="165" customHeight="1" spans="1:33">
      <c r="A165" s="51" t="s">
        <v>317</v>
      </c>
      <c r="B165" s="52">
        <v>45638</v>
      </c>
      <c r="C165" s="51" t="s">
        <v>86</v>
      </c>
      <c r="D165" s="51" t="s">
        <v>87</v>
      </c>
      <c r="E165" s="51" t="s">
        <v>77</v>
      </c>
      <c r="F165" s="51" t="s">
        <v>23</v>
      </c>
      <c r="G165" s="51" t="s">
        <v>10</v>
      </c>
      <c r="H165" s="51">
        <v>2</v>
      </c>
      <c r="I165" s="51">
        <v>899.99</v>
      </c>
      <c r="J165" s="51" t="s">
        <v>45</v>
      </c>
      <c r="K165" s="51" t="s">
        <v>11</v>
      </c>
      <c r="L165" s="51" t="s">
        <v>46</v>
      </c>
      <c r="M165" s="53">
        <v>44406</v>
      </c>
      <c r="N165" s="51">
        <v>1799.98</v>
      </c>
      <c r="O165" s="51">
        <f>MONTH(Table1[[#This Row],[Date]])</f>
        <v>12</v>
      </c>
      <c r="P165" s="51">
        <f>YEAR(Table1[[#This Row],[Date]])</f>
        <v>2024</v>
      </c>
      <c r="R165" s="51"/>
      <c r="S165" s="52"/>
      <c r="T165" s="52"/>
      <c r="U165" s="51"/>
      <c r="V165" s="51"/>
      <c r="W165" s="51"/>
      <c r="X165" s="10"/>
      <c r="Y165" s="10"/>
      <c r="Z165" s="10"/>
      <c r="AA165" s="10"/>
      <c r="AB165" s="10"/>
      <c r="AC165" s="10"/>
      <c r="AD165" s="57"/>
      <c r="AE165" s="10"/>
      <c r="AF165" s="10"/>
      <c r="AG165" s="10"/>
    </row>
    <row r="166" customHeight="1" spans="1:33">
      <c r="A166" s="51" t="s">
        <v>318</v>
      </c>
      <c r="B166" s="52">
        <v>45641</v>
      </c>
      <c r="C166" s="51" t="s">
        <v>191</v>
      </c>
      <c r="D166" s="51" t="s">
        <v>192</v>
      </c>
      <c r="E166" s="51" t="s">
        <v>64</v>
      </c>
      <c r="F166" s="51" t="s">
        <v>18</v>
      </c>
      <c r="G166" s="51" t="s">
        <v>12</v>
      </c>
      <c r="H166" s="51">
        <v>1</v>
      </c>
      <c r="I166" s="51">
        <v>149.99</v>
      </c>
      <c r="J166" s="51" t="s">
        <v>73</v>
      </c>
      <c r="K166" s="51" t="s">
        <v>9</v>
      </c>
      <c r="L166" s="51" t="s">
        <v>57</v>
      </c>
      <c r="M166" s="53">
        <v>45200</v>
      </c>
      <c r="N166" s="51">
        <v>149.99</v>
      </c>
      <c r="O166" s="51">
        <f>MONTH(Table1[[#This Row],[Date]])</f>
        <v>12</v>
      </c>
      <c r="P166" s="51">
        <f>YEAR(Table1[[#This Row],[Date]])</f>
        <v>2024</v>
      </c>
      <c r="R166" s="51"/>
      <c r="S166" s="52"/>
      <c r="T166" s="52"/>
      <c r="U166" s="51"/>
      <c r="V166" s="51"/>
      <c r="W166" s="51"/>
      <c r="X166" s="10"/>
      <c r="Y166" s="10"/>
      <c r="Z166" s="10"/>
      <c r="AA166" s="10"/>
      <c r="AB166" s="10"/>
      <c r="AC166" s="10"/>
      <c r="AD166" s="57"/>
      <c r="AE166" s="10"/>
      <c r="AF166" s="10"/>
      <c r="AG166" s="10"/>
    </row>
    <row r="167" customHeight="1" spans="1:33">
      <c r="A167" s="51" t="s">
        <v>319</v>
      </c>
      <c r="B167" s="52">
        <v>45641</v>
      </c>
      <c r="C167" s="51" t="s">
        <v>147</v>
      </c>
      <c r="D167" s="51" t="s">
        <v>148</v>
      </c>
      <c r="E167" s="51" t="s">
        <v>118</v>
      </c>
      <c r="F167" s="51" t="s">
        <v>20</v>
      </c>
      <c r="G167" s="51" t="s">
        <v>12</v>
      </c>
      <c r="H167" s="51">
        <v>2</v>
      </c>
      <c r="I167" s="51">
        <v>299.99</v>
      </c>
      <c r="J167" s="51" t="s">
        <v>45</v>
      </c>
      <c r="K167" s="51" t="s">
        <v>9</v>
      </c>
      <c r="L167" s="51" t="s">
        <v>51</v>
      </c>
      <c r="M167" s="53">
        <v>44724</v>
      </c>
      <c r="N167" s="51">
        <v>599.98</v>
      </c>
      <c r="O167" s="51">
        <f>MONTH(Table1[[#This Row],[Date]])</f>
        <v>12</v>
      </c>
      <c r="P167" s="51">
        <f>YEAR(Table1[[#This Row],[Date]])</f>
        <v>2024</v>
      </c>
      <c r="R167" s="51"/>
      <c r="S167" s="52"/>
      <c r="T167" s="52"/>
      <c r="U167" s="51"/>
      <c r="V167" s="51"/>
      <c r="W167" s="51"/>
      <c r="X167" s="10"/>
      <c r="Y167" s="10"/>
      <c r="Z167" s="10"/>
      <c r="AA167" s="10"/>
      <c r="AB167" s="10"/>
      <c r="AC167" s="10"/>
      <c r="AD167" s="57"/>
      <c r="AE167" s="10"/>
      <c r="AF167" s="10"/>
      <c r="AG167" s="10"/>
    </row>
    <row r="168" customHeight="1" spans="1:33">
      <c r="A168" s="51" t="s">
        <v>320</v>
      </c>
      <c r="B168" s="52">
        <v>45644</v>
      </c>
      <c r="C168" s="51" t="s">
        <v>141</v>
      </c>
      <c r="D168" s="51" t="s">
        <v>142</v>
      </c>
      <c r="E168" s="51" t="s">
        <v>55</v>
      </c>
      <c r="F168" s="51" t="s">
        <v>17</v>
      </c>
      <c r="G168" s="51" t="s">
        <v>8</v>
      </c>
      <c r="H168" s="51">
        <v>2</v>
      </c>
      <c r="I168" s="51">
        <v>59.99</v>
      </c>
      <c r="J168" s="51" t="s">
        <v>45</v>
      </c>
      <c r="K168" s="51" t="s">
        <v>15</v>
      </c>
      <c r="L168" s="51" t="s">
        <v>46</v>
      </c>
      <c r="M168" s="53">
        <v>45191</v>
      </c>
      <c r="N168" s="51">
        <v>119.98</v>
      </c>
      <c r="O168" s="51">
        <f>MONTH(Table1[[#This Row],[Date]])</f>
        <v>12</v>
      </c>
      <c r="P168" s="51">
        <f>YEAR(Table1[[#This Row],[Date]])</f>
        <v>2024</v>
      </c>
      <c r="R168" s="51"/>
      <c r="S168" s="52"/>
      <c r="T168" s="52"/>
      <c r="U168" s="51"/>
      <c r="V168" s="51"/>
      <c r="W168" s="51"/>
      <c r="X168" s="10"/>
      <c r="Y168" s="10"/>
      <c r="Z168" s="10"/>
      <c r="AA168" s="10"/>
      <c r="AB168" s="10"/>
      <c r="AC168" s="10"/>
      <c r="AD168" s="57"/>
      <c r="AE168" s="10"/>
      <c r="AF168" s="10"/>
      <c r="AG168" s="10"/>
    </row>
    <row r="169" customHeight="1" spans="1:33">
      <c r="A169" s="51" t="s">
        <v>321</v>
      </c>
      <c r="B169" s="52">
        <v>45645</v>
      </c>
      <c r="C169" s="51" t="s">
        <v>191</v>
      </c>
      <c r="D169" s="51" t="s">
        <v>192</v>
      </c>
      <c r="E169" s="51" t="s">
        <v>128</v>
      </c>
      <c r="F169" s="51" t="s">
        <v>22</v>
      </c>
      <c r="G169" s="51" t="s">
        <v>10</v>
      </c>
      <c r="H169" s="51">
        <v>1</v>
      </c>
      <c r="I169" s="51">
        <v>89.99</v>
      </c>
      <c r="J169" s="51" t="s">
        <v>73</v>
      </c>
      <c r="K169" s="51" t="s">
        <v>7</v>
      </c>
      <c r="L169" s="51" t="s">
        <v>57</v>
      </c>
      <c r="M169" s="53">
        <v>44760</v>
      </c>
      <c r="N169" s="51">
        <v>89.99</v>
      </c>
      <c r="O169" s="51">
        <f>MONTH(Table1[[#This Row],[Date]])</f>
        <v>12</v>
      </c>
      <c r="P169" s="51">
        <f>YEAR(Table1[[#This Row],[Date]])</f>
        <v>2024</v>
      </c>
      <c r="R169" s="51"/>
      <c r="S169" s="52"/>
      <c r="T169" s="52"/>
      <c r="U169" s="51"/>
      <c r="V169" s="51"/>
      <c r="W169" s="51"/>
      <c r="X169" s="10"/>
      <c r="Y169" s="10"/>
      <c r="Z169" s="10"/>
      <c r="AA169" s="10"/>
      <c r="AB169" s="10"/>
      <c r="AC169" s="10"/>
      <c r="AD169" s="57"/>
      <c r="AE169" s="10"/>
      <c r="AF169" s="10"/>
      <c r="AG169" s="10"/>
    </row>
    <row r="170" customHeight="1" spans="1:33">
      <c r="A170" s="51" t="s">
        <v>322</v>
      </c>
      <c r="B170" s="52">
        <v>45645</v>
      </c>
      <c r="C170" s="51" t="s">
        <v>156</v>
      </c>
      <c r="D170" s="51" t="s">
        <v>157</v>
      </c>
      <c r="E170" s="51" t="s">
        <v>77</v>
      </c>
      <c r="F170" s="51" t="s">
        <v>23</v>
      </c>
      <c r="G170" s="51" t="s">
        <v>10</v>
      </c>
      <c r="H170" s="51">
        <v>5</v>
      </c>
      <c r="I170" s="51">
        <v>899.99</v>
      </c>
      <c r="J170" s="51" t="s">
        <v>73</v>
      </c>
      <c r="K170" s="51" t="s">
        <v>9</v>
      </c>
      <c r="L170" s="51" t="s">
        <v>57</v>
      </c>
      <c r="M170" s="53">
        <v>44625</v>
      </c>
      <c r="N170" s="51">
        <v>4499.95</v>
      </c>
      <c r="O170" s="51">
        <f>MONTH(Table1[[#This Row],[Date]])</f>
        <v>12</v>
      </c>
      <c r="P170" s="51">
        <f>YEAR(Table1[[#This Row],[Date]])</f>
        <v>2024</v>
      </c>
      <c r="R170" s="51"/>
      <c r="S170" s="52"/>
      <c r="T170" s="52"/>
      <c r="U170" s="51"/>
      <c r="V170" s="51"/>
      <c r="W170" s="51"/>
      <c r="X170" s="10"/>
      <c r="Y170" s="10"/>
      <c r="Z170" s="10"/>
      <c r="AA170" s="10"/>
      <c r="AB170" s="10"/>
      <c r="AC170" s="10"/>
      <c r="AD170" s="57"/>
      <c r="AE170" s="10"/>
      <c r="AF170" s="10"/>
      <c r="AG170" s="10"/>
    </row>
    <row r="171" customHeight="1" spans="1:33">
      <c r="A171" s="51" t="s">
        <v>323</v>
      </c>
      <c r="B171" s="52">
        <v>45646</v>
      </c>
      <c r="C171" s="51" t="s">
        <v>62</v>
      </c>
      <c r="D171" s="51" t="s">
        <v>63</v>
      </c>
      <c r="E171" s="51" t="s">
        <v>64</v>
      </c>
      <c r="F171" s="51" t="s">
        <v>18</v>
      </c>
      <c r="G171" s="51" t="s">
        <v>12</v>
      </c>
      <c r="H171" s="51">
        <v>2</v>
      </c>
      <c r="I171" s="51">
        <v>149.99</v>
      </c>
      <c r="J171" s="51" t="s">
        <v>45</v>
      </c>
      <c r="K171" s="51" t="s">
        <v>13</v>
      </c>
      <c r="L171" s="51" t="s">
        <v>46</v>
      </c>
      <c r="M171" s="53">
        <v>45239</v>
      </c>
      <c r="N171" s="51">
        <v>299.98</v>
      </c>
      <c r="O171" s="51">
        <f>MONTH(Table1[[#This Row],[Date]])</f>
        <v>12</v>
      </c>
      <c r="P171" s="51">
        <f>YEAR(Table1[[#This Row],[Date]])</f>
        <v>2024</v>
      </c>
      <c r="R171" s="51"/>
      <c r="S171" s="52"/>
      <c r="T171" s="52"/>
      <c r="U171" s="51"/>
      <c r="V171" s="51"/>
      <c r="W171" s="51"/>
      <c r="X171" s="10"/>
      <c r="Y171" s="10"/>
      <c r="Z171" s="10"/>
      <c r="AA171" s="10"/>
      <c r="AB171" s="10"/>
      <c r="AC171" s="10"/>
      <c r="AD171" s="57"/>
      <c r="AE171" s="10"/>
      <c r="AF171" s="10"/>
      <c r="AG171" s="10"/>
    </row>
    <row r="172" customHeight="1" spans="1:33">
      <c r="A172" s="51" t="s">
        <v>324</v>
      </c>
      <c r="B172" s="52">
        <v>45648</v>
      </c>
      <c r="C172" s="51" t="s">
        <v>124</v>
      </c>
      <c r="D172" s="51" t="s">
        <v>125</v>
      </c>
      <c r="E172" s="51" t="s">
        <v>69</v>
      </c>
      <c r="F172" s="51" t="s">
        <v>21</v>
      </c>
      <c r="G172" s="51" t="s">
        <v>10</v>
      </c>
      <c r="H172" s="51">
        <v>2</v>
      </c>
      <c r="I172" s="51">
        <v>149.99</v>
      </c>
      <c r="J172" s="51" t="s">
        <v>73</v>
      </c>
      <c r="K172" s="51" t="s">
        <v>15</v>
      </c>
      <c r="L172" s="51" t="s">
        <v>51</v>
      </c>
      <c r="M172" s="53">
        <v>45280</v>
      </c>
      <c r="N172" s="51">
        <v>299.98</v>
      </c>
      <c r="O172" s="51">
        <f>MONTH(Table1[[#This Row],[Date]])</f>
        <v>12</v>
      </c>
      <c r="P172" s="51">
        <f>YEAR(Table1[[#This Row],[Date]])</f>
        <v>2024</v>
      </c>
      <c r="R172" s="51"/>
      <c r="S172" s="52"/>
      <c r="T172" s="52"/>
      <c r="U172" s="51"/>
      <c r="V172" s="51"/>
      <c r="W172" s="51"/>
      <c r="X172" s="10"/>
      <c r="Y172" s="10"/>
      <c r="Z172" s="10"/>
      <c r="AA172" s="10"/>
      <c r="AB172" s="10"/>
      <c r="AC172" s="10"/>
      <c r="AD172" s="57"/>
      <c r="AE172" s="10"/>
      <c r="AF172" s="10"/>
      <c r="AG172" s="10"/>
    </row>
    <row r="173" customHeight="1" spans="1:33">
      <c r="A173" s="51" t="s">
        <v>325</v>
      </c>
      <c r="B173" s="52">
        <v>45648</v>
      </c>
      <c r="C173" s="51" t="s">
        <v>191</v>
      </c>
      <c r="D173" s="51" t="s">
        <v>192</v>
      </c>
      <c r="E173" s="51" t="s">
        <v>64</v>
      </c>
      <c r="F173" s="51" t="s">
        <v>18</v>
      </c>
      <c r="G173" s="51" t="s">
        <v>12</v>
      </c>
      <c r="H173" s="51">
        <v>3</v>
      </c>
      <c r="I173" s="51">
        <v>149.99</v>
      </c>
      <c r="J173" s="51" t="s">
        <v>73</v>
      </c>
      <c r="K173" s="51" t="s">
        <v>11</v>
      </c>
      <c r="L173" s="51" t="s">
        <v>57</v>
      </c>
      <c r="M173" s="53">
        <v>44522</v>
      </c>
      <c r="N173" s="51">
        <v>449.97</v>
      </c>
      <c r="O173" s="51">
        <f>MONTH(Table1[[#This Row],[Date]])</f>
        <v>12</v>
      </c>
      <c r="P173" s="51">
        <f>YEAR(Table1[[#This Row],[Date]])</f>
        <v>2024</v>
      </c>
      <c r="R173" s="51"/>
      <c r="S173" s="52"/>
      <c r="T173" s="52"/>
      <c r="U173" s="51"/>
      <c r="V173" s="51"/>
      <c r="W173" s="51"/>
      <c r="X173" s="10"/>
      <c r="Y173" s="10"/>
      <c r="Z173" s="10"/>
      <c r="AA173" s="10"/>
      <c r="AB173" s="10"/>
      <c r="AC173" s="10"/>
      <c r="AD173" s="57"/>
      <c r="AE173" s="10"/>
      <c r="AF173" s="10"/>
      <c r="AG173" s="10"/>
    </row>
    <row r="174" customHeight="1" spans="1:33">
      <c r="A174" s="51" t="s">
        <v>326</v>
      </c>
      <c r="B174" s="52">
        <v>45649</v>
      </c>
      <c r="C174" s="51" t="s">
        <v>53</v>
      </c>
      <c r="D174" s="51" t="s">
        <v>54</v>
      </c>
      <c r="E174" s="51" t="s">
        <v>118</v>
      </c>
      <c r="F174" s="51" t="s">
        <v>20</v>
      </c>
      <c r="G174" s="51" t="s">
        <v>12</v>
      </c>
      <c r="H174" s="51">
        <v>2</v>
      </c>
      <c r="I174" s="51">
        <v>299.99</v>
      </c>
      <c r="J174" s="51" t="s">
        <v>56</v>
      </c>
      <c r="K174" s="51" t="s">
        <v>13</v>
      </c>
      <c r="L174" s="51" t="s">
        <v>46</v>
      </c>
      <c r="M174" s="53">
        <v>44721</v>
      </c>
      <c r="N174" s="51">
        <v>599.98</v>
      </c>
      <c r="O174" s="51">
        <f>MONTH(Table1[[#This Row],[Date]])</f>
        <v>12</v>
      </c>
      <c r="P174" s="51">
        <f>YEAR(Table1[[#This Row],[Date]])</f>
        <v>2024</v>
      </c>
      <c r="R174" s="51"/>
      <c r="S174" s="52"/>
      <c r="T174" s="52"/>
      <c r="U174" s="51"/>
      <c r="V174" s="51"/>
      <c r="W174" s="51"/>
      <c r="X174" s="10"/>
      <c r="Y174" s="10"/>
      <c r="Z174" s="10"/>
      <c r="AA174" s="10"/>
      <c r="AB174" s="10"/>
      <c r="AC174" s="10"/>
      <c r="AD174" s="57"/>
      <c r="AE174" s="10"/>
      <c r="AF174" s="10"/>
      <c r="AG174" s="10"/>
    </row>
    <row r="175" customHeight="1" spans="1:33">
      <c r="A175" s="51" t="s">
        <v>327</v>
      </c>
      <c r="B175" s="52">
        <v>45654</v>
      </c>
      <c r="C175" s="51" t="s">
        <v>62</v>
      </c>
      <c r="D175" s="51" t="s">
        <v>63</v>
      </c>
      <c r="E175" s="51" t="s">
        <v>118</v>
      </c>
      <c r="F175" s="51" t="s">
        <v>20</v>
      </c>
      <c r="G175" s="51" t="s">
        <v>12</v>
      </c>
      <c r="H175" s="51">
        <v>2</v>
      </c>
      <c r="I175" s="51">
        <v>299.99</v>
      </c>
      <c r="J175" s="51" t="s">
        <v>45</v>
      </c>
      <c r="K175" s="51" t="s">
        <v>15</v>
      </c>
      <c r="L175" s="51" t="s">
        <v>46</v>
      </c>
      <c r="M175" s="53">
        <v>44771</v>
      </c>
      <c r="N175" s="51">
        <v>599.98</v>
      </c>
      <c r="O175" s="51">
        <f>MONTH(Table1[[#This Row],[Date]])</f>
        <v>12</v>
      </c>
      <c r="P175" s="51">
        <f>YEAR(Table1[[#This Row],[Date]])</f>
        <v>2024</v>
      </c>
      <c r="R175" s="51"/>
      <c r="S175" s="52"/>
      <c r="T175" s="52"/>
      <c r="U175" s="51"/>
      <c r="V175" s="51"/>
      <c r="W175" s="51"/>
      <c r="X175" s="10"/>
      <c r="Y175" s="10"/>
      <c r="Z175" s="10"/>
      <c r="AA175" s="10"/>
      <c r="AB175" s="10"/>
      <c r="AC175" s="10"/>
      <c r="AD175" s="57"/>
      <c r="AE175" s="10"/>
      <c r="AF175" s="10"/>
      <c r="AG175" s="10"/>
    </row>
    <row r="176" customHeight="1" spans="1:33">
      <c r="A176" s="51" t="s">
        <v>328</v>
      </c>
      <c r="B176" s="52">
        <v>45654</v>
      </c>
      <c r="C176" s="51" t="s">
        <v>130</v>
      </c>
      <c r="D176" s="51" t="s">
        <v>131</v>
      </c>
      <c r="E176" s="51" t="s">
        <v>136</v>
      </c>
      <c r="F176" s="51" t="s">
        <v>25</v>
      </c>
      <c r="G176" s="51" t="s">
        <v>12</v>
      </c>
      <c r="H176" s="51">
        <v>4</v>
      </c>
      <c r="I176" s="51">
        <v>199.99</v>
      </c>
      <c r="J176" s="51" t="s">
        <v>50</v>
      </c>
      <c r="K176" s="51" t="s">
        <v>7</v>
      </c>
      <c r="L176" s="51" t="s">
        <v>46</v>
      </c>
      <c r="M176" s="53">
        <v>44523</v>
      </c>
      <c r="N176" s="51">
        <v>799.96</v>
      </c>
      <c r="O176" s="51">
        <f>MONTH(Table1[[#This Row],[Date]])</f>
        <v>12</v>
      </c>
      <c r="P176" s="51">
        <f>YEAR(Table1[[#This Row],[Date]])</f>
        <v>2024</v>
      </c>
      <c r="R176" s="51"/>
      <c r="S176" s="52"/>
      <c r="T176" s="52"/>
      <c r="U176" s="51"/>
      <c r="V176" s="51"/>
      <c r="W176" s="51"/>
      <c r="X176" s="10"/>
      <c r="Y176" s="10"/>
      <c r="Z176" s="10"/>
      <c r="AA176" s="10"/>
      <c r="AB176" s="10"/>
      <c r="AC176" s="10"/>
      <c r="AD176" s="57"/>
      <c r="AE176" s="10"/>
      <c r="AF176" s="10"/>
      <c r="AG176" s="10"/>
    </row>
    <row r="177" customHeight="1" spans="1:33">
      <c r="A177" s="51" t="s">
        <v>329</v>
      </c>
      <c r="B177" s="52">
        <v>45655</v>
      </c>
      <c r="C177" s="51" t="s">
        <v>75</v>
      </c>
      <c r="D177" s="51" t="s">
        <v>76</v>
      </c>
      <c r="E177" s="51" t="s">
        <v>128</v>
      </c>
      <c r="F177" s="51" t="s">
        <v>22</v>
      </c>
      <c r="G177" s="51" t="s">
        <v>10</v>
      </c>
      <c r="H177" s="51">
        <v>1</v>
      </c>
      <c r="I177" s="51">
        <v>89.99</v>
      </c>
      <c r="J177" s="51" t="s">
        <v>50</v>
      </c>
      <c r="K177" s="51" t="s">
        <v>13</v>
      </c>
      <c r="L177" s="51" t="s">
        <v>51</v>
      </c>
      <c r="M177" s="53">
        <v>44591</v>
      </c>
      <c r="N177" s="51">
        <v>89.99</v>
      </c>
      <c r="O177" s="51">
        <f>MONTH(Table1[[#This Row],[Date]])</f>
        <v>12</v>
      </c>
      <c r="P177" s="51">
        <f>YEAR(Table1[[#This Row],[Date]])</f>
        <v>2024</v>
      </c>
      <c r="R177" s="51"/>
      <c r="S177" s="52"/>
      <c r="T177" s="52"/>
      <c r="U177" s="51"/>
      <c r="V177" s="51"/>
      <c r="W177" s="51"/>
      <c r="X177" s="10"/>
      <c r="Y177" s="10"/>
      <c r="Z177" s="10"/>
      <c r="AA177" s="10"/>
      <c r="AB177" s="10"/>
      <c r="AC177" s="10"/>
      <c r="AD177" s="57"/>
      <c r="AE177" s="10"/>
      <c r="AF177" s="10"/>
      <c r="AG177" s="10"/>
    </row>
    <row r="178" customHeight="1" spans="1:33">
      <c r="A178" s="51" t="s">
        <v>330</v>
      </c>
      <c r="B178" s="52">
        <v>45655</v>
      </c>
      <c r="C178" s="51" t="s">
        <v>120</v>
      </c>
      <c r="D178" s="51" t="s">
        <v>121</v>
      </c>
      <c r="E178" s="51" t="s">
        <v>64</v>
      </c>
      <c r="F178" s="51" t="s">
        <v>18</v>
      </c>
      <c r="G178" s="51" t="s">
        <v>12</v>
      </c>
      <c r="H178" s="51">
        <v>5</v>
      </c>
      <c r="I178" s="51">
        <v>149.99</v>
      </c>
      <c r="J178" s="51" t="s">
        <v>45</v>
      </c>
      <c r="K178" s="51" t="s">
        <v>7</v>
      </c>
      <c r="L178" s="51" t="s">
        <v>51</v>
      </c>
      <c r="M178" s="53">
        <v>45347</v>
      </c>
      <c r="N178" s="51">
        <v>749.95</v>
      </c>
      <c r="O178" s="51">
        <f>MONTH(Table1[[#This Row],[Date]])</f>
        <v>12</v>
      </c>
      <c r="P178" s="51">
        <f>YEAR(Table1[[#This Row],[Date]])</f>
        <v>2024</v>
      </c>
      <c r="R178" s="51"/>
      <c r="S178" s="52"/>
      <c r="T178" s="52"/>
      <c r="U178" s="51"/>
      <c r="V178" s="51"/>
      <c r="W178" s="51"/>
      <c r="X178" s="10"/>
      <c r="Y178" s="10"/>
      <c r="Z178" s="10"/>
      <c r="AA178" s="10"/>
      <c r="AB178" s="10"/>
      <c r="AC178" s="10"/>
      <c r="AD178" s="57"/>
      <c r="AE178" s="10"/>
      <c r="AF178" s="10"/>
      <c r="AG178" s="10"/>
    </row>
    <row r="179" customHeight="1" spans="1:33">
      <c r="A179" s="51" t="s">
        <v>331</v>
      </c>
      <c r="B179" s="52">
        <v>45657</v>
      </c>
      <c r="C179" s="51" t="s">
        <v>99</v>
      </c>
      <c r="D179" s="51" t="s">
        <v>100</v>
      </c>
      <c r="E179" s="51" t="s">
        <v>77</v>
      </c>
      <c r="F179" s="51" t="s">
        <v>23</v>
      </c>
      <c r="G179" s="51" t="s">
        <v>10</v>
      </c>
      <c r="H179" s="51">
        <v>1</v>
      </c>
      <c r="I179" s="51">
        <v>899.99</v>
      </c>
      <c r="J179" s="51" t="s">
        <v>56</v>
      </c>
      <c r="K179" s="51" t="s">
        <v>11</v>
      </c>
      <c r="L179" s="51" t="s">
        <v>51</v>
      </c>
      <c r="M179" s="53">
        <v>45050</v>
      </c>
      <c r="N179" s="51">
        <v>899.99</v>
      </c>
      <c r="O179" s="51">
        <f>MONTH(Table1[[#This Row],[Date]])</f>
        <v>12</v>
      </c>
      <c r="P179" s="51">
        <f>YEAR(Table1[[#This Row],[Date]])</f>
        <v>2024</v>
      </c>
      <c r="R179" s="51"/>
      <c r="S179" s="52"/>
      <c r="T179" s="52"/>
      <c r="U179" s="51"/>
      <c r="V179" s="51"/>
      <c r="W179" s="51"/>
      <c r="X179" s="10"/>
      <c r="Y179" s="10"/>
      <c r="Z179" s="10"/>
      <c r="AA179" s="10"/>
      <c r="AB179" s="10"/>
      <c r="AC179" s="10"/>
      <c r="AD179" s="57"/>
      <c r="AE179" s="10"/>
      <c r="AF179" s="10"/>
      <c r="AG179" s="10"/>
    </row>
    <row r="180" customHeight="1" spans="1:33">
      <c r="A180" s="51" t="s">
        <v>332</v>
      </c>
      <c r="B180" s="52">
        <v>45660</v>
      </c>
      <c r="C180" s="51" t="s">
        <v>156</v>
      </c>
      <c r="D180" s="51" t="s">
        <v>157</v>
      </c>
      <c r="E180" s="51" t="s">
        <v>128</v>
      </c>
      <c r="F180" s="51" t="s">
        <v>22</v>
      </c>
      <c r="G180" s="51" t="s">
        <v>10</v>
      </c>
      <c r="H180" s="51">
        <v>2</v>
      </c>
      <c r="I180" s="51">
        <v>89.99</v>
      </c>
      <c r="J180" s="51" t="s">
        <v>50</v>
      </c>
      <c r="K180" s="51" t="s">
        <v>13</v>
      </c>
      <c r="L180" s="51" t="s">
        <v>51</v>
      </c>
      <c r="M180" s="53">
        <v>44564</v>
      </c>
      <c r="N180" s="51">
        <v>179.98</v>
      </c>
      <c r="O180" s="51">
        <f>MONTH(Table1[[#This Row],[Date]])</f>
        <v>1</v>
      </c>
      <c r="P180" s="51">
        <f>YEAR(Table1[[#This Row],[Date]])</f>
        <v>2025</v>
      </c>
      <c r="R180" s="51"/>
      <c r="S180" s="52"/>
      <c r="T180" s="52"/>
      <c r="U180" s="51"/>
      <c r="V180" s="51"/>
      <c r="W180" s="51"/>
      <c r="X180" s="10"/>
      <c r="Y180" s="10"/>
      <c r="Z180" s="10"/>
      <c r="AA180" s="10"/>
      <c r="AB180" s="10"/>
      <c r="AC180" s="10"/>
      <c r="AD180" s="57"/>
      <c r="AE180" s="10"/>
      <c r="AF180" s="10"/>
      <c r="AG180" s="10"/>
    </row>
    <row r="181" customHeight="1" spans="1:33">
      <c r="A181" s="51" t="s">
        <v>333</v>
      </c>
      <c r="B181" s="52">
        <v>45661</v>
      </c>
      <c r="C181" s="51" t="s">
        <v>334</v>
      </c>
      <c r="D181" s="51" t="s">
        <v>335</v>
      </c>
      <c r="E181" s="51" t="s">
        <v>77</v>
      </c>
      <c r="F181" s="51" t="s">
        <v>23</v>
      </c>
      <c r="G181" s="51" t="s">
        <v>10</v>
      </c>
      <c r="H181" s="51">
        <v>1</v>
      </c>
      <c r="I181" s="51">
        <v>899.99</v>
      </c>
      <c r="J181" s="51" t="s">
        <v>56</v>
      </c>
      <c r="K181" s="51" t="s">
        <v>11</v>
      </c>
      <c r="L181" s="51" t="s">
        <v>57</v>
      </c>
      <c r="M181" s="53">
        <v>44752</v>
      </c>
      <c r="N181" s="51">
        <v>899.99</v>
      </c>
      <c r="O181" s="51">
        <f>MONTH(Table1[[#This Row],[Date]])</f>
        <v>1</v>
      </c>
      <c r="P181" s="51">
        <f>YEAR(Table1[[#This Row],[Date]])</f>
        <v>2025</v>
      </c>
      <c r="R181" s="51"/>
      <c r="S181" s="52"/>
      <c r="T181" s="52"/>
      <c r="U181" s="51"/>
      <c r="V181" s="51"/>
      <c r="W181" s="51"/>
      <c r="X181" s="10"/>
      <c r="Y181" s="10"/>
      <c r="Z181" s="10"/>
      <c r="AA181" s="10"/>
      <c r="AB181" s="10"/>
      <c r="AC181" s="10"/>
      <c r="AD181" s="57"/>
      <c r="AE181" s="10"/>
      <c r="AF181" s="10"/>
      <c r="AG181" s="10"/>
    </row>
    <row r="182" customHeight="1" spans="1:33">
      <c r="A182" s="51" t="s">
        <v>336</v>
      </c>
      <c r="B182" s="52">
        <v>45663</v>
      </c>
      <c r="C182" s="51" t="s">
        <v>138</v>
      </c>
      <c r="D182" s="51" t="s">
        <v>139</v>
      </c>
      <c r="E182" s="51" t="s">
        <v>69</v>
      </c>
      <c r="F182" s="51" t="s">
        <v>21</v>
      </c>
      <c r="G182" s="51" t="s">
        <v>10</v>
      </c>
      <c r="H182" s="51">
        <v>5</v>
      </c>
      <c r="I182" s="51">
        <v>149.99</v>
      </c>
      <c r="J182" s="51" t="s">
        <v>56</v>
      </c>
      <c r="K182" s="51" t="s">
        <v>9</v>
      </c>
      <c r="L182" s="51" t="s">
        <v>51</v>
      </c>
      <c r="M182" s="53">
        <v>44824</v>
      </c>
      <c r="N182" s="51">
        <v>749.95</v>
      </c>
      <c r="O182" s="51">
        <f>MONTH(Table1[[#This Row],[Date]])</f>
        <v>1</v>
      </c>
      <c r="P182" s="51">
        <f>YEAR(Table1[[#This Row],[Date]])</f>
        <v>2025</v>
      </c>
      <c r="R182" s="51"/>
      <c r="S182" s="52"/>
      <c r="T182" s="52"/>
      <c r="U182" s="51"/>
      <c r="V182" s="51"/>
      <c r="W182" s="51"/>
      <c r="X182" s="10"/>
      <c r="Y182" s="10"/>
      <c r="Z182" s="10"/>
      <c r="AA182" s="10"/>
      <c r="AB182" s="10"/>
      <c r="AC182" s="10"/>
      <c r="AD182" s="57"/>
      <c r="AE182" s="10"/>
      <c r="AF182" s="10"/>
      <c r="AG182" s="10"/>
    </row>
    <row r="183" customHeight="1" spans="1:33">
      <c r="A183" s="51" t="s">
        <v>337</v>
      </c>
      <c r="B183" s="52">
        <v>45663</v>
      </c>
      <c r="C183" s="51" t="s">
        <v>62</v>
      </c>
      <c r="D183" s="51" t="s">
        <v>63</v>
      </c>
      <c r="E183" s="51" t="s">
        <v>118</v>
      </c>
      <c r="F183" s="51" t="s">
        <v>20</v>
      </c>
      <c r="G183" s="51" t="s">
        <v>12</v>
      </c>
      <c r="H183" s="51">
        <v>3</v>
      </c>
      <c r="I183" s="51">
        <v>299.99</v>
      </c>
      <c r="J183" s="51" t="s">
        <v>45</v>
      </c>
      <c r="K183" s="51" t="s">
        <v>13</v>
      </c>
      <c r="L183" s="51" t="s">
        <v>57</v>
      </c>
      <c r="M183" s="53">
        <v>44422</v>
      </c>
      <c r="N183" s="51">
        <v>899.97</v>
      </c>
      <c r="O183" s="51">
        <f>MONTH(Table1[[#This Row],[Date]])</f>
        <v>1</v>
      </c>
      <c r="P183" s="51">
        <f>YEAR(Table1[[#This Row],[Date]])</f>
        <v>2025</v>
      </c>
      <c r="R183" s="51"/>
      <c r="S183" s="52"/>
      <c r="T183" s="52"/>
      <c r="U183" s="51"/>
      <c r="V183" s="51"/>
      <c r="W183" s="51"/>
      <c r="X183" s="10"/>
      <c r="Y183" s="10"/>
      <c r="Z183" s="10"/>
      <c r="AA183" s="10"/>
      <c r="AB183" s="10"/>
      <c r="AC183" s="10"/>
      <c r="AD183" s="57"/>
      <c r="AE183" s="10"/>
      <c r="AF183" s="10"/>
      <c r="AG183" s="10"/>
    </row>
    <row r="184" customHeight="1" spans="1:33">
      <c r="A184" s="51" t="s">
        <v>338</v>
      </c>
      <c r="B184" s="52">
        <v>45666</v>
      </c>
      <c r="C184" s="51" t="s">
        <v>79</v>
      </c>
      <c r="D184" s="51" t="s">
        <v>80</v>
      </c>
      <c r="E184" s="51" t="s">
        <v>94</v>
      </c>
      <c r="F184" s="51" t="s">
        <v>26</v>
      </c>
      <c r="G184" s="51" t="s">
        <v>10</v>
      </c>
      <c r="H184" s="51">
        <v>3</v>
      </c>
      <c r="I184" s="51">
        <v>699.99</v>
      </c>
      <c r="J184" s="51" t="s">
        <v>50</v>
      </c>
      <c r="K184" s="51" t="s">
        <v>7</v>
      </c>
      <c r="L184" s="51" t="s">
        <v>51</v>
      </c>
      <c r="M184" s="53">
        <v>45105</v>
      </c>
      <c r="N184" s="51">
        <v>2099.97</v>
      </c>
      <c r="O184" s="51">
        <f>MONTH(Table1[[#This Row],[Date]])</f>
        <v>1</v>
      </c>
      <c r="P184" s="51">
        <f>YEAR(Table1[[#This Row],[Date]])</f>
        <v>2025</v>
      </c>
      <c r="R184" s="51"/>
      <c r="S184" s="52"/>
      <c r="T184" s="52"/>
      <c r="U184" s="51"/>
      <c r="V184" s="51"/>
      <c r="W184" s="51"/>
      <c r="X184" s="10"/>
      <c r="Y184" s="10"/>
      <c r="Z184" s="10"/>
      <c r="AA184" s="10"/>
      <c r="AB184" s="10"/>
      <c r="AC184" s="10"/>
      <c r="AD184" s="57"/>
      <c r="AE184" s="10"/>
      <c r="AF184" s="10"/>
      <c r="AG184" s="10"/>
    </row>
    <row r="185" customHeight="1" spans="1:33">
      <c r="A185" s="51" t="s">
        <v>339</v>
      </c>
      <c r="B185" s="52">
        <v>45667</v>
      </c>
      <c r="C185" s="51" t="s">
        <v>120</v>
      </c>
      <c r="D185" s="51" t="s">
        <v>121</v>
      </c>
      <c r="E185" s="51" t="s">
        <v>136</v>
      </c>
      <c r="F185" s="51" t="s">
        <v>25</v>
      </c>
      <c r="G185" s="51" t="s">
        <v>12</v>
      </c>
      <c r="H185" s="51">
        <v>5</v>
      </c>
      <c r="I185" s="51">
        <v>199.99</v>
      </c>
      <c r="J185" s="51" t="s">
        <v>56</v>
      </c>
      <c r="K185" s="51" t="s">
        <v>7</v>
      </c>
      <c r="L185" s="51" t="s">
        <v>57</v>
      </c>
      <c r="M185" s="53">
        <v>44633</v>
      </c>
      <c r="N185" s="51">
        <v>999.95</v>
      </c>
      <c r="O185" s="51">
        <f>MONTH(Table1[[#This Row],[Date]])</f>
        <v>1</v>
      </c>
      <c r="P185" s="51">
        <f>YEAR(Table1[[#This Row],[Date]])</f>
        <v>2025</v>
      </c>
      <c r="R185" s="51"/>
      <c r="S185" s="52"/>
      <c r="T185" s="52"/>
      <c r="U185" s="51"/>
      <c r="V185" s="51"/>
      <c r="W185" s="51"/>
      <c r="X185" s="10"/>
      <c r="Y185" s="10"/>
      <c r="Z185" s="10"/>
      <c r="AA185" s="10"/>
      <c r="AB185" s="10"/>
      <c r="AC185" s="10"/>
      <c r="AD185" s="57"/>
      <c r="AE185" s="10"/>
      <c r="AF185" s="10"/>
      <c r="AG185" s="10"/>
    </row>
    <row r="186" customHeight="1" spans="1:33">
      <c r="A186" s="51" t="s">
        <v>340</v>
      </c>
      <c r="B186" s="52">
        <v>45667</v>
      </c>
      <c r="C186" s="51" t="s">
        <v>106</v>
      </c>
      <c r="D186" s="51" t="s">
        <v>107</v>
      </c>
      <c r="E186" s="51" t="s">
        <v>44</v>
      </c>
      <c r="F186" s="51" t="s">
        <v>24</v>
      </c>
      <c r="G186" s="51" t="s">
        <v>10</v>
      </c>
      <c r="H186" s="51">
        <v>5</v>
      </c>
      <c r="I186" s="51">
        <v>249.99</v>
      </c>
      <c r="J186" s="51" t="s">
        <v>50</v>
      </c>
      <c r="K186" s="51" t="s">
        <v>13</v>
      </c>
      <c r="L186" s="51" t="s">
        <v>46</v>
      </c>
      <c r="M186" s="53">
        <v>45330</v>
      </c>
      <c r="N186" s="51">
        <v>1249.95</v>
      </c>
      <c r="O186" s="51">
        <f>MONTH(Table1[[#This Row],[Date]])</f>
        <v>1</v>
      </c>
      <c r="P186" s="51">
        <f>YEAR(Table1[[#This Row],[Date]])</f>
        <v>2025</v>
      </c>
      <c r="R186" s="51"/>
      <c r="S186" s="52"/>
      <c r="T186" s="52"/>
      <c r="U186" s="51"/>
      <c r="V186" s="51"/>
      <c r="W186" s="51"/>
      <c r="X186" s="10"/>
      <c r="Y186" s="10"/>
      <c r="Z186" s="10"/>
      <c r="AA186" s="10"/>
      <c r="AB186" s="10"/>
      <c r="AC186" s="10"/>
      <c r="AD186" s="57"/>
      <c r="AE186" s="10"/>
      <c r="AF186" s="10"/>
      <c r="AG186" s="10"/>
    </row>
    <row r="187" customHeight="1" spans="1:33">
      <c r="A187" s="51" t="s">
        <v>341</v>
      </c>
      <c r="B187" s="52">
        <v>45668</v>
      </c>
      <c r="C187" s="51" t="s">
        <v>147</v>
      </c>
      <c r="D187" s="51" t="s">
        <v>148</v>
      </c>
      <c r="E187" s="51" t="s">
        <v>69</v>
      </c>
      <c r="F187" s="51" t="s">
        <v>21</v>
      </c>
      <c r="G187" s="51" t="s">
        <v>10</v>
      </c>
      <c r="H187" s="51">
        <v>4</v>
      </c>
      <c r="I187" s="51">
        <v>149.99</v>
      </c>
      <c r="J187" s="51" t="s">
        <v>73</v>
      </c>
      <c r="K187" s="51" t="s">
        <v>9</v>
      </c>
      <c r="L187" s="51" t="s">
        <v>57</v>
      </c>
      <c r="M187" s="53">
        <v>44536</v>
      </c>
      <c r="N187" s="51">
        <v>599.96</v>
      </c>
      <c r="O187" s="51">
        <f>MONTH(Table1[[#This Row],[Date]])</f>
        <v>1</v>
      </c>
      <c r="P187" s="51">
        <f>YEAR(Table1[[#This Row],[Date]])</f>
        <v>2025</v>
      </c>
      <c r="R187" s="51"/>
      <c r="S187" s="52"/>
      <c r="T187" s="52"/>
      <c r="U187" s="51"/>
      <c r="V187" s="51"/>
      <c r="W187" s="51"/>
      <c r="X187" s="10"/>
      <c r="Y187" s="10"/>
      <c r="Z187" s="10"/>
      <c r="AA187" s="10"/>
      <c r="AB187" s="10"/>
      <c r="AC187" s="10"/>
      <c r="AD187" s="57"/>
      <c r="AE187" s="10"/>
      <c r="AF187" s="10"/>
      <c r="AG187" s="10"/>
    </row>
    <row r="188" customHeight="1" spans="1:33">
      <c r="A188" s="51" t="s">
        <v>342</v>
      </c>
      <c r="B188" s="52">
        <v>45668</v>
      </c>
      <c r="C188" s="51" t="s">
        <v>92</v>
      </c>
      <c r="D188" s="51" t="s">
        <v>93</v>
      </c>
      <c r="E188" s="51" t="s">
        <v>94</v>
      </c>
      <c r="F188" s="51" t="s">
        <v>26</v>
      </c>
      <c r="G188" s="51" t="s">
        <v>10</v>
      </c>
      <c r="H188" s="51">
        <v>3</v>
      </c>
      <c r="I188" s="51">
        <v>699.99</v>
      </c>
      <c r="J188" s="51" t="s">
        <v>45</v>
      </c>
      <c r="K188" s="51" t="s">
        <v>11</v>
      </c>
      <c r="L188" s="51" t="s">
        <v>51</v>
      </c>
      <c r="M188" s="53">
        <v>44602</v>
      </c>
      <c r="N188" s="51">
        <v>2099.97</v>
      </c>
      <c r="O188" s="51">
        <f>MONTH(Table1[[#This Row],[Date]])</f>
        <v>1</v>
      </c>
      <c r="P188" s="51">
        <f>YEAR(Table1[[#This Row],[Date]])</f>
        <v>2025</v>
      </c>
      <c r="R188" s="51"/>
      <c r="S188" s="52"/>
      <c r="T188" s="52"/>
      <c r="U188" s="51"/>
      <c r="V188" s="51"/>
      <c r="W188" s="51"/>
      <c r="X188" s="10"/>
      <c r="Y188" s="10"/>
      <c r="Z188" s="10"/>
      <c r="AA188" s="10"/>
      <c r="AB188" s="10"/>
      <c r="AC188" s="10"/>
      <c r="AD188" s="57"/>
      <c r="AE188" s="10"/>
      <c r="AF188" s="10"/>
      <c r="AG188" s="10"/>
    </row>
    <row r="189" customHeight="1" spans="1:33">
      <c r="A189" s="51" t="s">
        <v>343</v>
      </c>
      <c r="B189" s="52">
        <v>45670</v>
      </c>
      <c r="C189" s="51" t="s">
        <v>302</v>
      </c>
      <c r="D189" s="51" t="s">
        <v>303</v>
      </c>
      <c r="E189" s="51" t="s">
        <v>126</v>
      </c>
      <c r="F189" s="51" t="s">
        <v>19</v>
      </c>
      <c r="G189" s="51" t="s">
        <v>8</v>
      </c>
      <c r="H189" s="51">
        <v>1</v>
      </c>
      <c r="I189" s="51">
        <v>79.99</v>
      </c>
      <c r="J189" s="51" t="s">
        <v>50</v>
      </c>
      <c r="K189" s="51" t="s">
        <v>13</v>
      </c>
      <c r="L189" s="51" t="s">
        <v>46</v>
      </c>
      <c r="M189" s="53">
        <v>45322</v>
      </c>
      <c r="N189" s="51">
        <v>79.99</v>
      </c>
      <c r="O189" s="51">
        <f>MONTH(Table1[[#This Row],[Date]])</f>
        <v>1</v>
      </c>
      <c r="P189" s="51">
        <f>YEAR(Table1[[#This Row],[Date]])</f>
        <v>2025</v>
      </c>
      <c r="R189" s="51"/>
      <c r="S189" s="52"/>
      <c r="T189" s="52"/>
      <c r="U189" s="51"/>
      <c r="V189" s="51"/>
      <c r="W189" s="51"/>
      <c r="X189" s="10"/>
      <c r="Y189" s="10"/>
      <c r="Z189" s="10"/>
      <c r="AA189" s="10"/>
      <c r="AB189" s="10"/>
      <c r="AC189" s="10"/>
      <c r="AD189" s="57"/>
      <c r="AE189" s="10"/>
      <c r="AF189" s="10"/>
      <c r="AG189" s="10"/>
    </row>
    <row r="190" customHeight="1" spans="1:33">
      <c r="A190" s="51" t="s">
        <v>344</v>
      </c>
      <c r="B190" s="52">
        <v>45670</v>
      </c>
      <c r="C190" s="51" t="s">
        <v>99</v>
      </c>
      <c r="D190" s="51" t="s">
        <v>100</v>
      </c>
      <c r="E190" s="51" t="s">
        <v>118</v>
      </c>
      <c r="F190" s="51" t="s">
        <v>20</v>
      </c>
      <c r="G190" s="51" t="s">
        <v>12</v>
      </c>
      <c r="H190" s="51">
        <v>1</v>
      </c>
      <c r="I190" s="51">
        <v>299.99</v>
      </c>
      <c r="J190" s="51" t="s">
        <v>50</v>
      </c>
      <c r="K190" s="51" t="s">
        <v>11</v>
      </c>
      <c r="L190" s="51" t="s">
        <v>46</v>
      </c>
      <c r="M190" s="53">
        <v>44436</v>
      </c>
      <c r="N190" s="51">
        <v>299.99</v>
      </c>
      <c r="O190" s="51">
        <f>MONTH(Table1[[#This Row],[Date]])</f>
        <v>1</v>
      </c>
      <c r="P190" s="51">
        <f>YEAR(Table1[[#This Row],[Date]])</f>
        <v>2025</v>
      </c>
      <c r="R190" s="51"/>
      <c r="S190" s="52"/>
      <c r="T190" s="52"/>
      <c r="U190" s="51"/>
      <c r="V190" s="51"/>
      <c r="W190" s="51"/>
      <c r="X190" s="10"/>
      <c r="Y190" s="10"/>
      <c r="Z190" s="10"/>
      <c r="AA190" s="10"/>
      <c r="AB190" s="10"/>
      <c r="AC190" s="10"/>
      <c r="AD190" s="57"/>
      <c r="AE190" s="10"/>
      <c r="AF190" s="10"/>
      <c r="AG190" s="10"/>
    </row>
    <row r="191" customHeight="1" spans="1:33">
      <c r="A191" s="51" t="s">
        <v>345</v>
      </c>
      <c r="B191" s="52">
        <v>45671</v>
      </c>
      <c r="C191" s="51" t="s">
        <v>167</v>
      </c>
      <c r="D191" s="51" t="s">
        <v>168</v>
      </c>
      <c r="E191" s="51" t="s">
        <v>44</v>
      </c>
      <c r="F191" s="51" t="s">
        <v>24</v>
      </c>
      <c r="G191" s="51" t="s">
        <v>10</v>
      </c>
      <c r="H191" s="51">
        <v>4</v>
      </c>
      <c r="I191" s="51">
        <v>249.99</v>
      </c>
      <c r="J191" s="51" t="s">
        <v>50</v>
      </c>
      <c r="K191" s="51" t="s">
        <v>11</v>
      </c>
      <c r="L191" s="51" t="s">
        <v>51</v>
      </c>
      <c r="M191" s="53">
        <v>44460</v>
      </c>
      <c r="N191" s="51">
        <v>999.96</v>
      </c>
      <c r="O191" s="51">
        <f>MONTH(Table1[[#This Row],[Date]])</f>
        <v>1</v>
      </c>
      <c r="P191" s="51">
        <f>YEAR(Table1[[#This Row],[Date]])</f>
        <v>2025</v>
      </c>
      <c r="R191" s="51"/>
      <c r="S191" s="52"/>
      <c r="T191" s="52"/>
      <c r="U191" s="51"/>
      <c r="V191" s="51"/>
      <c r="W191" s="51"/>
      <c r="X191" s="10"/>
      <c r="Y191" s="10"/>
      <c r="Z191" s="10"/>
      <c r="AA191" s="10"/>
      <c r="AB191" s="10"/>
      <c r="AC191" s="10"/>
      <c r="AD191" s="57"/>
      <c r="AE191" s="10"/>
      <c r="AF191" s="10"/>
      <c r="AG191" s="10"/>
    </row>
    <row r="192" customHeight="1" spans="1:33">
      <c r="A192" s="51" t="s">
        <v>346</v>
      </c>
      <c r="B192" s="52">
        <v>45671</v>
      </c>
      <c r="C192" s="51" t="s">
        <v>130</v>
      </c>
      <c r="D192" s="51" t="s">
        <v>131</v>
      </c>
      <c r="E192" s="51" t="s">
        <v>69</v>
      </c>
      <c r="F192" s="51" t="s">
        <v>21</v>
      </c>
      <c r="G192" s="51" t="s">
        <v>10</v>
      </c>
      <c r="H192" s="51">
        <v>2</v>
      </c>
      <c r="I192" s="51">
        <v>149.99</v>
      </c>
      <c r="J192" s="51" t="s">
        <v>45</v>
      </c>
      <c r="K192" s="51" t="s">
        <v>11</v>
      </c>
      <c r="L192" s="51" t="s">
        <v>57</v>
      </c>
      <c r="M192" s="53">
        <v>44913</v>
      </c>
      <c r="N192" s="51">
        <v>299.98</v>
      </c>
      <c r="O192" s="51">
        <f>MONTH(Table1[[#This Row],[Date]])</f>
        <v>1</v>
      </c>
      <c r="P192" s="51">
        <f>YEAR(Table1[[#This Row],[Date]])</f>
        <v>2025</v>
      </c>
      <c r="R192" s="51"/>
      <c r="S192" s="52"/>
      <c r="T192" s="52"/>
      <c r="U192" s="51"/>
      <c r="V192" s="51"/>
      <c r="W192" s="51"/>
      <c r="X192" s="10"/>
      <c r="Y192" s="10"/>
      <c r="Z192" s="10"/>
      <c r="AA192" s="10"/>
      <c r="AB192" s="10"/>
      <c r="AC192" s="10"/>
      <c r="AD192" s="57"/>
      <c r="AE192" s="10"/>
      <c r="AF192" s="10"/>
      <c r="AG192" s="10"/>
    </row>
    <row r="193" customHeight="1" spans="1:33">
      <c r="A193" s="51" t="s">
        <v>347</v>
      </c>
      <c r="B193" s="52">
        <v>45671</v>
      </c>
      <c r="C193" s="51" t="s">
        <v>243</v>
      </c>
      <c r="D193" s="51" t="s">
        <v>244</v>
      </c>
      <c r="E193" s="51" t="s">
        <v>118</v>
      </c>
      <c r="F193" s="51" t="s">
        <v>20</v>
      </c>
      <c r="G193" s="51" t="s">
        <v>12</v>
      </c>
      <c r="H193" s="51">
        <v>3</v>
      </c>
      <c r="I193" s="51">
        <v>299.99</v>
      </c>
      <c r="J193" s="51" t="s">
        <v>50</v>
      </c>
      <c r="K193" s="51" t="s">
        <v>13</v>
      </c>
      <c r="L193" s="51" t="s">
        <v>46</v>
      </c>
      <c r="M193" s="53">
        <v>45204</v>
      </c>
      <c r="N193" s="51">
        <v>899.97</v>
      </c>
      <c r="O193" s="51">
        <f>MONTH(Table1[[#This Row],[Date]])</f>
        <v>1</v>
      </c>
      <c r="P193" s="51">
        <f>YEAR(Table1[[#This Row],[Date]])</f>
        <v>2025</v>
      </c>
      <c r="R193" s="51"/>
      <c r="S193" s="52"/>
      <c r="T193" s="52"/>
      <c r="U193" s="51"/>
      <c r="V193" s="51"/>
      <c r="W193" s="51"/>
      <c r="X193" s="10"/>
      <c r="Y193" s="10"/>
      <c r="Z193" s="10"/>
      <c r="AA193" s="10"/>
      <c r="AB193" s="10"/>
      <c r="AC193" s="10"/>
      <c r="AD193" s="57"/>
      <c r="AE193" s="10"/>
      <c r="AF193" s="10"/>
      <c r="AG193" s="10"/>
    </row>
    <row r="194" customHeight="1" spans="1:33">
      <c r="A194" s="51" t="s">
        <v>348</v>
      </c>
      <c r="B194" s="52">
        <v>45673</v>
      </c>
      <c r="C194" s="51" t="s">
        <v>235</v>
      </c>
      <c r="D194" s="51" t="s">
        <v>236</v>
      </c>
      <c r="E194" s="51" t="s">
        <v>136</v>
      </c>
      <c r="F194" s="51" t="s">
        <v>25</v>
      </c>
      <c r="G194" s="51" t="s">
        <v>12</v>
      </c>
      <c r="H194" s="51">
        <v>4</v>
      </c>
      <c r="I194" s="51">
        <v>199.99</v>
      </c>
      <c r="J194" s="51" t="s">
        <v>73</v>
      </c>
      <c r="K194" s="51" t="s">
        <v>13</v>
      </c>
      <c r="L194" s="51" t="s">
        <v>57</v>
      </c>
      <c r="M194" s="53">
        <v>44544</v>
      </c>
      <c r="N194" s="51">
        <v>799.96</v>
      </c>
      <c r="O194" s="51">
        <f>MONTH(Table1[[#This Row],[Date]])</f>
        <v>1</v>
      </c>
      <c r="P194" s="51">
        <f>YEAR(Table1[[#This Row],[Date]])</f>
        <v>2025</v>
      </c>
      <c r="R194" s="51"/>
      <c r="S194" s="52"/>
      <c r="T194" s="52"/>
      <c r="U194" s="51"/>
      <c r="V194" s="51"/>
      <c r="W194" s="51"/>
      <c r="X194" s="10"/>
      <c r="Y194" s="10"/>
      <c r="Z194" s="10"/>
      <c r="AA194" s="10"/>
      <c r="AB194" s="10"/>
      <c r="AC194" s="10"/>
      <c r="AD194" s="57"/>
      <c r="AE194" s="10"/>
      <c r="AF194" s="10"/>
      <c r="AG194" s="10"/>
    </row>
    <row r="195" customHeight="1" spans="1:33">
      <c r="A195" s="51" t="s">
        <v>349</v>
      </c>
      <c r="B195" s="52">
        <v>45673</v>
      </c>
      <c r="C195" s="51" t="s">
        <v>220</v>
      </c>
      <c r="D195" s="51" t="s">
        <v>221</v>
      </c>
      <c r="E195" s="51" t="s">
        <v>118</v>
      </c>
      <c r="F195" s="51" t="s">
        <v>20</v>
      </c>
      <c r="G195" s="51" t="s">
        <v>12</v>
      </c>
      <c r="H195" s="51">
        <v>5</v>
      </c>
      <c r="I195" s="51">
        <v>299.99</v>
      </c>
      <c r="J195" s="51" t="s">
        <v>73</v>
      </c>
      <c r="K195" s="51" t="s">
        <v>7</v>
      </c>
      <c r="L195" s="51" t="s">
        <v>46</v>
      </c>
      <c r="M195" s="53">
        <v>44431</v>
      </c>
      <c r="N195" s="51">
        <v>1499.95</v>
      </c>
      <c r="O195" s="51">
        <f>MONTH(Table1[[#This Row],[Date]])</f>
        <v>1</v>
      </c>
      <c r="P195" s="51">
        <f>YEAR(Table1[[#This Row],[Date]])</f>
        <v>2025</v>
      </c>
      <c r="R195" s="51"/>
      <c r="S195" s="52"/>
      <c r="T195" s="52"/>
      <c r="U195" s="51"/>
      <c r="V195" s="51"/>
      <c r="W195" s="51"/>
      <c r="X195" s="10"/>
      <c r="Y195" s="10"/>
      <c r="Z195" s="10"/>
      <c r="AA195" s="10"/>
      <c r="AB195" s="10"/>
      <c r="AC195" s="10"/>
      <c r="AD195" s="57"/>
      <c r="AE195" s="10"/>
      <c r="AF195" s="10"/>
      <c r="AG195" s="10"/>
    </row>
    <row r="196" customHeight="1" spans="1:33">
      <c r="A196" s="51" t="s">
        <v>350</v>
      </c>
      <c r="B196" s="52">
        <v>45673</v>
      </c>
      <c r="C196" s="51" t="s">
        <v>75</v>
      </c>
      <c r="D196" s="51" t="s">
        <v>76</v>
      </c>
      <c r="E196" s="51" t="s">
        <v>64</v>
      </c>
      <c r="F196" s="51" t="s">
        <v>18</v>
      </c>
      <c r="G196" s="51" t="s">
        <v>12</v>
      </c>
      <c r="H196" s="51">
        <v>3</v>
      </c>
      <c r="I196" s="51">
        <v>149.99</v>
      </c>
      <c r="J196" s="51" t="s">
        <v>50</v>
      </c>
      <c r="K196" s="51" t="s">
        <v>9</v>
      </c>
      <c r="L196" s="51" t="s">
        <v>57</v>
      </c>
      <c r="M196" s="53">
        <v>44395</v>
      </c>
      <c r="N196" s="51">
        <v>449.97</v>
      </c>
      <c r="O196" s="51">
        <f>MONTH(Table1[[#This Row],[Date]])</f>
        <v>1</v>
      </c>
      <c r="P196" s="51">
        <f>YEAR(Table1[[#This Row],[Date]])</f>
        <v>2025</v>
      </c>
      <c r="R196" s="51"/>
      <c r="S196" s="52"/>
      <c r="T196" s="52"/>
      <c r="U196" s="51"/>
      <c r="V196" s="51"/>
      <c r="W196" s="51"/>
      <c r="X196" s="10"/>
      <c r="Y196" s="10"/>
      <c r="Z196" s="10"/>
      <c r="AA196" s="10"/>
      <c r="AB196" s="10"/>
      <c r="AC196" s="10"/>
      <c r="AD196" s="57"/>
      <c r="AE196" s="10"/>
      <c r="AF196" s="10"/>
      <c r="AG196" s="10"/>
    </row>
    <row r="197" customHeight="1" spans="1:33">
      <c r="A197" s="51" t="s">
        <v>351</v>
      </c>
      <c r="B197" s="52">
        <v>45676</v>
      </c>
      <c r="C197" s="51" t="s">
        <v>138</v>
      </c>
      <c r="D197" s="51" t="s">
        <v>139</v>
      </c>
      <c r="E197" s="51" t="s">
        <v>55</v>
      </c>
      <c r="F197" s="51" t="s">
        <v>17</v>
      </c>
      <c r="G197" s="51" t="s">
        <v>8</v>
      </c>
      <c r="H197" s="51">
        <v>5</v>
      </c>
      <c r="I197" s="51">
        <v>59.99</v>
      </c>
      <c r="J197" s="51" t="s">
        <v>73</v>
      </c>
      <c r="K197" s="51" t="s">
        <v>9</v>
      </c>
      <c r="L197" s="51" t="s">
        <v>46</v>
      </c>
      <c r="M197" s="53">
        <v>44642</v>
      </c>
      <c r="N197" s="51">
        <v>299.95</v>
      </c>
      <c r="O197" s="51">
        <f>MONTH(Table1[[#This Row],[Date]])</f>
        <v>1</v>
      </c>
      <c r="P197" s="51">
        <f>YEAR(Table1[[#This Row],[Date]])</f>
        <v>2025</v>
      </c>
      <c r="R197" s="51"/>
      <c r="S197" s="52"/>
      <c r="T197" s="52"/>
      <c r="U197" s="51"/>
      <c r="V197" s="51"/>
      <c r="W197" s="51"/>
      <c r="X197" s="10"/>
      <c r="Y197" s="10"/>
      <c r="Z197" s="10"/>
      <c r="AA197" s="10"/>
      <c r="AB197" s="10"/>
      <c r="AC197" s="10"/>
      <c r="AD197" s="57"/>
      <c r="AE197" s="10"/>
      <c r="AF197" s="10"/>
      <c r="AG197" s="10"/>
    </row>
    <row r="198" customHeight="1" spans="1:33">
      <c r="A198" s="51" t="s">
        <v>352</v>
      </c>
      <c r="B198" s="52">
        <v>45682</v>
      </c>
      <c r="C198" s="51" t="s">
        <v>82</v>
      </c>
      <c r="D198" s="51" t="s">
        <v>83</v>
      </c>
      <c r="E198" s="51" t="s">
        <v>55</v>
      </c>
      <c r="F198" s="51" t="s">
        <v>17</v>
      </c>
      <c r="G198" s="51" t="s">
        <v>8</v>
      </c>
      <c r="H198" s="51">
        <v>4</v>
      </c>
      <c r="I198" s="51">
        <v>59.99</v>
      </c>
      <c r="J198" s="51" t="s">
        <v>73</v>
      </c>
      <c r="K198" s="51" t="s">
        <v>9</v>
      </c>
      <c r="L198" s="51" t="s">
        <v>57</v>
      </c>
      <c r="M198" s="53">
        <v>44564</v>
      </c>
      <c r="N198" s="51">
        <v>239.96</v>
      </c>
      <c r="O198" s="51">
        <f>MONTH(Table1[[#This Row],[Date]])</f>
        <v>1</v>
      </c>
      <c r="P198" s="51">
        <f>YEAR(Table1[[#This Row],[Date]])</f>
        <v>2025</v>
      </c>
      <c r="R198" s="51"/>
      <c r="S198" s="52"/>
      <c r="T198" s="52"/>
      <c r="U198" s="51"/>
      <c r="V198" s="51"/>
      <c r="W198" s="51"/>
      <c r="X198" s="10"/>
      <c r="Y198" s="10"/>
      <c r="Z198" s="10"/>
      <c r="AA198" s="10"/>
      <c r="AB198" s="10"/>
      <c r="AC198" s="10"/>
      <c r="AD198" s="57"/>
      <c r="AE198" s="10"/>
      <c r="AF198" s="10"/>
      <c r="AG198" s="10"/>
    </row>
    <row r="199" customHeight="1" spans="1:33">
      <c r="A199" s="51" t="s">
        <v>353</v>
      </c>
      <c r="B199" s="52">
        <v>45683</v>
      </c>
      <c r="C199" s="51" t="s">
        <v>66</v>
      </c>
      <c r="D199" s="51" t="s">
        <v>67</v>
      </c>
      <c r="E199" s="51" t="s">
        <v>44</v>
      </c>
      <c r="F199" s="51" t="s">
        <v>24</v>
      </c>
      <c r="G199" s="51" t="s">
        <v>10</v>
      </c>
      <c r="H199" s="51">
        <v>4</v>
      </c>
      <c r="I199" s="51">
        <v>249.99</v>
      </c>
      <c r="J199" s="51" t="s">
        <v>73</v>
      </c>
      <c r="K199" s="51" t="s">
        <v>7</v>
      </c>
      <c r="L199" s="51" t="s">
        <v>51</v>
      </c>
      <c r="M199" s="53">
        <v>45217</v>
      </c>
      <c r="N199" s="51">
        <v>999.96</v>
      </c>
      <c r="O199" s="51">
        <f>MONTH(Table1[[#This Row],[Date]])</f>
        <v>1</v>
      </c>
      <c r="P199" s="51">
        <f>YEAR(Table1[[#This Row],[Date]])</f>
        <v>2025</v>
      </c>
      <c r="R199" s="51"/>
      <c r="S199" s="52"/>
      <c r="T199" s="52"/>
      <c r="U199" s="51"/>
      <c r="V199" s="51"/>
      <c r="W199" s="51"/>
      <c r="X199" s="10"/>
      <c r="Y199" s="10"/>
      <c r="Z199" s="10"/>
      <c r="AA199" s="10"/>
      <c r="AB199" s="10"/>
      <c r="AC199" s="10"/>
      <c r="AD199" s="57"/>
      <c r="AE199" s="10"/>
      <c r="AF199" s="10"/>
      <c r="AG199" s="10"/>
    </row>
    <row r="200" customHeight="1" spans="1:33">
      <c r="A200" s="51" t="s">
        <v>354</v>
      </c>
      <c r="B200" s="52">
        <v>45686</v>
      </c>
      <c r="C200" s="51" t="s">
        <v>261</v>
      </c>
      <c r="D200" s="51" t="s">
        <v>262</v>
      </c>
      <c r="E200" s="51" t="s">
        <v>77</v>
      </c>
      <c r="F200" s="51" t="s">
        <v>23</v>
      </c>
      <c r="G200" s="51" t="s">
        <v>10</v>
      </c>
      <c r="H200" s="51">
        <v>4</v>
      </c>
      <c r="I200" s="51">
        <v>899.99</v>
      </c>
      <c r="J200" s="51" t="s">
        <v>56</v>
      </c>
      <c r="K200" s="51" t="s">
        <v>7</v>
      </c>
      <c r="L200" s="51" t="s">
        <v>46</v>
      </c>
      <c r="M200" s="53">
        <v>44734</v>
      </c>
      <c r="N200" s="51">
        <v>3599.96</v>
      </c>
      <c r="O200" s="51">
        <f>MONTH(Table1[[#This Row],[Date]])</f>
        <v>1</v>
      </c>
      <c r="P200" s="51">
        <f>YEAR(Table1[[#This Row],[Date]])</f>
        <v>2025</v>
      </c>
      <c r="R200" s="51"/>
      <c r="S200" s="52"/>
      <c r="T200" s="52"/>
      <c r="U200" s="51"/>
      <c r="V200" s="51"/>
      <c r="W200" s="51"/>
      <c r="X200" s="10"/>
      <c r="Y200" s="10"/>
      <c r="Z200" s="10"/>
      <c r="AA200" s="10"/>
      <c r="AB200" s="10"/>
      <c r="AC200" s="10"/>
      <c r="AD200" s="57"/>
      <c r="AE200" s="10"/>
      <c r="AF200" s="10"/>
      <c r="AG200" s="10"/>
    </row>
    <row r="201" customHeight="1" spans="1:33">
      <c r="A201" s="51" t="s">
        <v>355</v>
      </c>
      <c r="B201" s="52">
        <v>45686</v>
      </c>
      <c r="C201" s="51" t="s">
        <v>99</v>
      </c>
      <c r="D201" s="51" t="s">
        <v>100</v>
      </c>
      <c r="E201" s="51" t="s">
        <v>118</v>
      </c>
      <c r="F201" s="51" t="s">
        <v>20</v>
      </c>
      <c r="G201" s="51" t="s">
        <v>12</v>
      </c>
      <c r="H201" s="51">
        <v>3</v>
      </c>
      <c r="I201" s="51">
        <v>299.99</v>
      </c>
      <c r="J201" s="51" t="s">
        <v>73</v>
      </c>
      <c r="K201" s="51" t="s">
        <v>15</v>
      </c>
      <c r="L201" s="51" t="s">
        <v>57</v>
      </c>
      <c r="M201" s="53">
        <v>44952</v>
      </c>
      <c r="N201" s="51">
        <v>899.97</v>
      </c>
      <c r="O201" s="51">
        <f>MONTH(Table1[[#This Row],[Date]])</f>
        <v>1</v>
      </c>
      <c r="P201" s="51">
        <f>YEAR(Table1[[#This Row],[Date]])</f>
        <v>2025</v>
      </c>
      <c r="R201" s="51"/>
      <c r="S201" s="52"/>
      <c r="T201" s="52"/>
      <c r="U201" s="51"/>
      <c r="V201" s="51"/>
      <c r="W201" s="51"/>
      <c r="X201" s="10"/>
      <c r="Y201" s="10"/>
      <c r="Z201" s="10"/>
      <c r="AA201" s="10"/>
      <c r="AB201" s="10"/>
      <c r="AC201" s="10"/>
      <c r="AD201" s="57"/>
      <c r="AE201" s="10"/>
      <c r="AF201" s="10"/>
      <c r="AG201" s="10"/>
    </row>
    <row r="202" customHeight="1" spans="1:33">
      <c r="A202" s="51" t="s">
        <v>356</v>
      </c>
      <c r="B202" s="52">
        <v>45686</v>
      </c>
      <c r="C202" s="51" t="s">
        <v>302</v>
      </c>
      <c r="D202" s="51" t="s">
        <v>303</v>
      </c>
      <c r="E202" s="51" t="s">
        <v>94</v>
      </c>
      <c r="F202" s="51" t="s">
        <v>26</v>
      </c>
      <c r="G202" s="51" t="s">
        <v>10</v>
      </c>
      <c r="H202" s="51">
        <v>2</v>
      </c>
      <c r="I202" s="51">
        <v>699.99</v>
      </c>
      <c r="J202" s="51" t="s">
        <v>73</v>
      </c>
      <c r="K202" s="51" t="s">
        <v>7</v>
      </c>
      <c r="L202" s="51" t="s">
        <v>51</v>
      </c>
      <c r="M202" s="53">
        <v>44681</v>
      </c>
      <c r="N202" s="51">
        <v>1399.98</v>
      </c>
      <c r="O202" s="51">
        <f>MONTH(Table1[[#This Row],[Date]])</f>
        <v>1</v>
      </c>
      <c r="P202" s="51">
        <f>YEAR(Table1[[#This Row],[Date]])</f>
        <v>2025</v>
      </c>
      <c r="R202" s="51"/>
      <c r="S202" s="52"/>
      <c r="T202" s="52"/>
      <c r="U202" s="51"/>
      <c r="V202" s="51"/>
      <c r="W202" s="51"/>
      <c r="X202" s="10"/>
      <c r="Y202" s="10"/>
      <c r="Z202" s="10"/>
      <c r="AA202" s="10"/>
      <c r="AB202" s="10"/>
      <c r="AC202" s="10"/>
      <c r="AD202" s="57"/>
      <c r="AE202" s="10"/>
      <c r="AF202" s="10"/>
      <c r="AG202" s="10"/>
    </row>
    <row r="203" customHeight="1" spans="1:33">
      <c r="A203" s="51" t="s">
        <v>357</v>
      </c>
      <c r="B203" s="52">
        <v>45688</v>
      </c>
      <c r="C203" s="51" t="s">
        <v>79</v>
      </c>
      <c r="D203" s="51" t="s">
        <v>80</v>
      </c>
      <c r="E203" s="51" t="s">
        <v>94</v>
      </c>
      <c r="F203" s="51" t="s">
        <v>26</v>
      </c>
      <c r="G203" s="51" t="s">
        <v>10</v>
      </c>
      <c r="H203" s="51">
        <v>4</v>
      </c>
      <c r="I203" s="51">
        <v>699.99</v>
      </c>
      <c r="J203" s="51" t="s">
        <v>73</v>
      </c>
      <c r="K203" s="51" t="s">
        <v>15</v>
      </c>
      <c r="L203" s="51" t="s">
        <v>51</v>
      </c>
      <c r="M203" s="53">
        <v>44692</v>
      </c>
      <c r="N203" s="51">
        <v>2799.96</v>
      </c>
      <c r="O203" s="51">
        <f>MONTH(Table1[[#This Row],[Date]])</f>
        <v>1</v>
      </c>
      <c r="P203" s="51">
        <f>YEAR(Table1[[#This Row],[Date]])</f>
        <v>2025</v>
      </c>
      <c r="R203" s="51"/>
      <c r="S203" s="52"/>
      <c r="T203" s="52"/>
      <c r="U203" s="51"/>
      <c r="V203" s="51"/>
      <c r="W203" s="51"/>
      <c r="X203" s="10"/>
      <c r="Y203" s="10"/>
      <c r="Z203" s="10"/>
      <c r="AA203" s="10"/>
      <c r="AB203" s="10"/>
      <c r="AC203" s="10"/>
      <c r="AD203" s="57"/>
      <c r="AE203" s="10"/>
      <c r="AF203" s="10"/>
      <c r="AG203" s="10"/>
    </row>
    <row r="204" customHeight="1" spans="1:33">
      <c r="A204" s="51" t="s">
        <v>358</v>
      </c>
      <c r="B204" s="52">
        <v>45688</v>
      </c>
      <c r="C204" s="51" t="s">
        <v>133</v>
      </c>
      <c r="D204" s="51" t="s">
        <v>134</v>
      </c>
      <c r="E204" s="51" t="s">
        <v>128</v>
      </c>
      <c r="F204" s="51" t="s">
        <v>22</v>
      </c>
      <c r="G204" s="51" t="s">
        <v>10</v>
      </c>
      <c r="H204" s="51">
        <v>2</v>
      </c>
      <c r="I204" s="51">
        <v>89.99</v>
      </c>
      <c r="J204" s="51" t="s">
        <v>73</v>
      </c>
      <c r="K204" s="51" t="s">
        <v>13</v>
      </c>
      <c r="L204" s="51" t="s">
        <v>46</v>
      </c>
      <c r="M204" s="53">
        <v>44777</v>
      </c>
      <c r="N204" s="51">
        <v>179.98</v>
      </c>
      <c r="O204" s="51">
        <f>MONTH(Table1[[#This Row],[Date]])</f>
        <v>1</v>
      </c>
      <c r="P204" s="51">
        <f>YEAR(Table1[[#This Row],[Date]])</f>
        <v>2025</v>
      </c>
      <c r="R204" s="51"/>
      <c r="S204" s="52"/>
      <c r="T204" s="52"/>
      <c r="U204" s="51"/>
      <c r="V204" s="51"/>
      <c r="W204" s="51"/>
      <c r="X204" s="10"/>
      <c r="Y204" s="10"/>
      <c r="Z204" s="10"/>
      <c r="AA204" s="10"/>
      <c r="AB204" s="10"/>
      <c r="AC204" s="10"/>
      <c r="AD204" s="57"/>
      <c r="AE204" s="10"/>
      <c r="AF204" s="10"/>
      <c r="AG204" s="10"/>
    </row>
    <row r="205" customHeight="1" spans="1:33">
      <c r="A205" s="51" t="s">
        <v>359</v>
      </c>
      <c r="B205" s="52">
        <v>45688</v>
      </c>
      <c r="C205" s="51" t="s">
        <v>62</v>
      </c>
      <c r="D205" s="51" t="s">
        <v>63</v>
      </c>
      <c r="E205" s="51" t="s">
        <v>128</v>
      </c>
      <c r="F205" s="51" t="s">
        <v>22</v>
      </c>
      <c r="G205" s="51" t="s">
        <v>10</v>
      </c>
      <c r="H205" s="51">
        <v>3</v>
      </c>
      <c r="I205" s="51">
        <v>89.99</v>
      </c>
      <c r="J205" s="51" t="s">
        <v>73</v>
      </c>
      <c r="K205" s="51" t="s">
        <v>13</v>
      </c>
      <c r="L205" s="51" t="s">
        <v>51</v>
      </c>
      <c r="M205" s="53">
        <v>45307</v>
      </c>
      <c r="N205" s="51">
        <v>269.97</v>
      </c>
      <c r="O205" s="51">
        <f>MONTH(Table1[[#This Row],[Date]])</f>
        <v>1</v>
      </c>
      <c r="P205" s="51">
        <f>YEAR(Table1[[#This Row],[Date]])</f>
        <v>2025</v>
      </c>
      <c r="R205" s="51"/>
      <c r="S205" s="52"/>
      <c r="T205" s="52"/>
      <c r="U205" s="51"/>
      <c r="V205" s="51"/>
      <c r="W205" s="51"/>
      <c r="X205"/>
      <c r="Y205" s="10"/>
      <c r="Z205" s="10"/>
      <c r="AA205" s="10"/>
      <c r="AB205" s="10"/>
      <c r="AC205" s="10"/>
      <c r="AD205" s="57"/>
      <c r="AE205" s="10"/>
      <c r="AF205" s="10"/>
      <c r="AG205" s="10"/>
    </row>
    <row r="206" customHeight="1" spans="1:33">
      <c r="A206" s="51" t="s">
        <v>360</v>
      </c>
      <c r="B206" s="52">
        <v>45692</v>
      </c>
      <c r="C206" s="51" t="s">
        <v>334</v>
      </c>
      <c r="D206" s="51" t="s">
        <v>335</v>
      </c>
      <c r="E206" s="51" t="s">
        <v>55</v>
      </c>
      <c r="F206" s="51" t="s">
        <v>17</v>
      </c>
      <c r="G206" s="51" t="s">
        <v>8</v>
      </c>
      <c r="H206" s="51">
        <v>1</v>
      </c>
      <c r="I206" s="51">
        <v>59.99</v>
      </c>
      <c r="J206" s="51" t="s">
        <v>73</v>
      </c>
      <c r="K206" s="51" t="s">
        <v>7</v>
      </c>
      <c r="L206" s="51" t="s">
        <v>57</v>
      </c>
      <c r="M206" s="53">
        <v>45045</v>
      </c>
      <c r="N206" s="51">
        <v>59.99</v>
      </c>
      <c r="O206" s="51">
        <f>MONTH(Table1[[#This Row],[Date]])</f>
        <v>2</v>
      </c>
      <c r="P206" s="51">
        <f>YEAR(Table1[[#This Row],[Date]])</f>
        <v>2025</v>
      </c>
      <c r="R206" s="51"/>
      <c r="S206" s="52"/>
      <c r="T206" s="52"/>
      <c r="U206" s="51"/>
      <c r="V206" s="51"/>
      <c r="W206" s="51"/>
      <c r="X206"/>
      <c r="Y206" s="10"/>
      <c r="Z206" s="10"/>
      <c r="AA206" s="10"/>
      <c r="AB206" s="10"/>
      <c r="AC206" s="10"/>
      <c r="AD206" s="57"/>
      <c r="AE206" s="10"/>
      <c r="AF206" s="10"/>
      <c r="AG206" s="10"/>
    </row>
    <row r="207" customHeight="1" spans="1:33">
      <c r="A207" s="51" t="s">
        <v>361</v>
      </c>
      <c r="B207" s="52">
        <v>45695</v>
      </c>
      <c r="C207" s="51" t="s">
        <v>255</v>
      </c>
      <c r="D207" s="51" t="s">
        <v>256</v>
      </c>
      <c r="E207" s="51" t="s">
        <v>64</v>
      </c>
      <c r="F207" s="51" t="s">
        <v>18</v>
      </c>
      <c r="G207" s="51" t="s">
        <v>12</v>
      </c>
      <c r="H207" s="51">
        <v>3</v>
      </c>
      <c r="I207" s="51">
        <v>149.99</v>
      </c>
      <c r="J207" s="51" t="s">
        <v>73</v>
      </c>
      <c r="K207" s="51" t="s">
        <v>11</v>
      </c>
      <c r="L207" s="51" t="s">
        <v>51</v>
      </c>
      <c r="M207" s="53">
        <v>44564</v>
      </c>
      <c r="N207" s="51">
        <v>449.97</v>
      </c>
      <c r="O207" s="51">
        <f>MONTH(Table1[[#This Row],[Date]])</f>
        <v>2</v>
      </c>
      <c r="P207" s="51">
        <f>YEAR(Table1[[#This Row],[Date]])</f>
        <v>2025</v>
      </c>
      <c r="R207" s="51"/>
      <c r="S207" s="52"/>
      <c r="T207" s="52"/>
      <c r="U207" s="51"/>
      <c r="V207" s="51"/>
      <c r="W207" s="51"/>
      <c r="X207"/>
      <c r="Z207" s="10"/>
      <c r="AA207" s="10"/>
      <c r="AB207" s="10"/>
      <c r="AC207" s="10"/>
      <c r="AD207" s="57"/>
      <c r="AE207" s="10"/>
      <c r="AF207" s="10"/>
      <c r="AG207" s="10"/>
    </row>
    <row r="208" customHeight="1" spans="1:33">
      <c r="A208" s="51" t="s">
        <v>362</v>
      </c>
      <c r="B208" s="52">
        <v>45695</v>
      </c>
      <c r="C208" s="51" t="s">
        <v>106</v>
      </c>
      <c r="D208" s="51" t="s">
        <v>107</v>
      </c>
      <c r="E208" s="51" t="s">
        <v>118</v>
      </c>
      <c r="F208" s="51" t="s">
        <v>20</v>
      </c>
      <c r="G208" s="51" t="s">
        <v>12</v>
      </c>
      <c r="H208" s="51">
        <v>5</v>
      </c>
      <c r="I208" s="51">
        <v>299.99</v>
      </c>
      <c r="J208" s="51" t="s">
        <v>50</v>
      </c>
      <c r="K208" s="51" t="s">
        <v>13</v>
      </c>
      <c r="L208" s="51" t="s">
        <v>46</v>
      </c>
      <c r="M208" s="53">
        <v>44959</v>
      </c>
      <c r="N208" s="51">
        <v>1499.95</v>
      </c>
      <c r="O208" s="51">
        <f>MONTH(Table1[[#This Row],[Date]])</f>
        <v>2</v>
      </c>
      <c r="P208" s="51">
        <f>YEAR(Table1[[#This Row],[Date]])</f>
        <v>2025</v>
      </c>
      <c r="R208" s="51"/>
      <c r="S208" s="52"/>
      <c r="T208" s="52"/>
      <c r="U208" s="51"/>
      <c r="V208" s="51"/>
      <c r="W208" s="51"/>
      <c r="X208"/>
      <c r="Z208" s="10"/>
      <c r="AA208" s="10"/>
      <c r="AD208" s="57"/>
      <c r="AE208" s="10"/>
      <c r="AF208" s="10"/>
      <c r="AG208" s="10"/>
    </row>
    <row r="209" customHeight="1" spans="1:33">
      <c r="A209" s="51" t="s">
        <v>363</v>
      </c>
      <c r="B209" s="52">
        <v>45696</v>
      </c>
      <c r="C209" s="51" t="s">
        <v>159</v>
      </c>
      <c r="D209" s="51" t="s">
        <v>160</v>
      </c>
      <c r="E209" s="51" t="s">
        <v>55</v>
      </c>
      <c r="F209" s="51" t="s">
        <v>17</v>
      </c>
      <c r="G209" s="51" t="s">
        <v>8</v>
      </c>
      <c r="H209" s="51">
        <v>5</v>
      </c>
      <c r="I209" s="51">
        <v>59.99</v>
      </c>
      <c r="J209" s="51" t="s">
        <v>73</v>
      </c>
      <c r="K209" s="51" t="s">
        <v>7</v>
      </c>
      <c r="L209" s="51" t="s">
        <v>57</v>
      </c>
      <c r="M209" s="53">
        <v>45177</v>
      </c>
      <c r="N209" s="51">
        <v>299.95</v>
      </c>
      <c r="O209" s="51">
        <f>MONTH(Table1[[#This Row],[Date]])</f>
        <v>2</v>
      </c>
      <c r="P209" s="51">
        <f>YEAR(Table1[[#This Row],[Date]])</f>
        <v>2025</v>
      </c>
      <c r="R209" s="51"/>
      <c r="S209" s="52"/>
      <c r="T209" s="52"/>
      <c r="U209" s="51"/>
      <c r="V209" s="51"/>
      <c r="W209" s="51"/>
      <c r="X209"/>
      <c r="Z209" s="10"/>
      <c r="AA209" s="10"/>
      <c r="AD209" s="57"/>
      <c r="AE209" s="10"/>
      <c r="AF209" s="10"/>
      <c r="AG209" s="10"/>
    </row>
    <row r="210" customHeight="1" spans="1:33">
      <c r="A210" s="51" t="s">
        <v>364</v>
      </c>
      <c r="B210" s="52">
        <v>45701</v>
      </c>
      <c r="C210" s="51" t="s">
        <v>120</v>
      </c>
      <c r="D210" s="51" t="s">
        <v>121</v>
      </c>
      <c r="E210" s="51" t="s">
        <v>126</v>
      </c>
      <c r="F210" s="51" t="s">
        <v>19</v>
      </c>
      <c r="G210" s="51" t="s">
        <v>8</v>
      </c>
      <c r="H210" s="51">
        <v>3</v>
      </c>
      <c r="I210" s="51">
        <v>79.99</v>
      </c>
      <c r="J210" s="51" t="s">
        <v>45</v>
      </c>
      <c r="K210" s="51" t="s">
        <v>9</v>
      </c>
      <c r="L210" s="51" t="s">
        <v>51</v>
      </c>
      <c r="M210" s="53">
        <v>44436</v>
      </c>
      <c r="N210" s="51">
        <v>239.97</v>
      </c>
      <c r="O210" s="51">
        <f>MONTH(Table1[[#This Row],[Date]])</f>
        <v>2</v>
      </c>
      <c r="P210" s="51">
        <f>YEAR(Table1[[#This Row],[Date]])</f>
        <v>2025</v>
      </c>
      <c r="R210" s="51"/>
      <c r="S210" s="52"/>
      <c r="T210" s="52"/>
      <c r="U210" s="51"/>
      <c r="V210" s="51"/>
      <c r="W210" s="51"/>
      <c r="X210"/>
      <c r="Z210" s="10"/>
      <c r="AA210" s="10"/>
      <c r="AD210" s="57"/>
      <c r="AE210" s="10"/>
      <c r="AF210" s="10"/>
      <c r="AG210" s="10"/>
    </row>
    <row r="211" customHeight="1" spans="1:33">
      <c r="A211" s="51" t="s">
        <v>365</v>
      </c>
      <c r="B211" s="52">
        <v>45704</v>
      </c>
      <c r="C211" s="51" t="s">
        <v>53</v>
      </c>
      <c r="D211" s="51" t="s">
        <v>54</v>
      </c>
      <c r="E211" s="51" t="s">
        <v>136</v>
      </c>
      <c r="F211" s="51" t="s">
        <v>25</v>
      </c>
      <c r="G211" s="51" t="s">
        <v>12</v>
      </c>
      <c r="H211" s="51">
        <v>3</v>
      </c>
      <c r="I211" s="51">
        <v>199.99</v>
      </c>
      <c r="J211" s="51" t="s">
        <v>45</v>
      </c>
      <c r="K211" s="51" t="s">
        <v>7</v>
      </c>
      <c r="L211" s="51" t="s">
        <v>46</v>
      </c>
      <c r="M211" s="53">
        <v>44735</v>
      </c>
      <c r="N211" s="51">
        <v>599.97</v>
      </c>
      <c r="O211" s="51">
        <f>MONTH(Table1[[#This Row],[Date]])</f>
        <v>2</v>
      </c>
      <c r="P211" s="51">
        <f>YEAR(Table1[[#This Row],[Date]])</f>
        <v>2025</v>
      </c>
      <c r="R211" s="51"/>
      <c r="S211" s="52"/>
      <c r="T211" s="52"/>
      <c r="U211" s="51"/>
      <c r="V211" s="51"/>
      <c r="W211" s="51"/>
      <c r="X211"/>
      <c r="Z211" s="10"/>
      <c r="AA211" s="10"/>
      <c r="AD211" s="57"/>
      <c r="AE211" s="10"/>
      <c r="AF211" s="10"/>
      <c r="AG211" s="10"/>
    </row>
    <row r="212" customHeight="1" spans="1:33">
      <c r="A212" s="51" t="s">
        <v>366</v>
      </c>
      <c r="B212" s="52">
        <v>45704</v>
      </c>
      <c r="C212" s="51" t="s">
        <v>42</v>
      </c>
      <c r="D212" s="51" t="s">
        <v>43</v>
      </c>
      <c r="E212" s="51" t="s">
        <v>128</v>
      </c>
      <c r="F212" s="51" t="s">
        <v>22</v>
      </c>
      <c r="G212" s="51" t="s">
        <v>10</v>
      </c>
      <c r="H212" s="51">
        <v>2</v>
      </c>
      <c r="I212" s="51">
        <v>89.99</v>
      </c>
      <c r="J212" s="51" t="s">
        <v>56</v>
      </c>
      <c r="K212" s="51" t="s">
        <v>7</v>
      </c>
      <c r="L212" s="51" t="s">
        <v>46</v>
      </c>
      <c r="M212" s="53">
        <v>45257</v>
      </c>
      <c r="N212" s="51">
        <v>179.98</v>
      </c>
      <c r="O212" s="51">
        <f>MONTH(Table1[[#This Row],[Date]])</f>
        <v>2</v>
      </c>
      <c r="P212" s="51">
        <f>YEAR(Table1[[#This Row],[Date]])</f>
        <v>2025</v>
      </c>
      <c r="R212" s="51"/>
      <c r="S212" s="52"/>
      <c r="T212" s="52"/>
      <c r="U212" s="51"/>
      <c r="V212" s="51"/>
      <c r="W212" s="51"/>
      <c r="X212"/>
      <c r="Z212" s="10"/>
      <c r="AA212" s="10"/>
      <c r="AD212" s="57"/>
      <c r="AE212" s="10"/>
      <c r="AF212" s="10"/>
      <c r="AG212" s="10"/>
    </row>
    <row r="213" customHeight="1" spans="1:33">
      <c r="A213" s="51" t="s">
        <v>367</v>
      </c>
      <c r="B213" s="52">
        <v>45705</v>
      </c>
      <c r="C213" s="51" t="s">
        <v>268</v>
      </c>
      <c r="D213" s="51" t="s">
        <v>269</v>
      </c>
      <c r="E213" s="51" t="s">
        <v>64</v>
      </c>
      <c r="F213" s="51" t="s">
        <v>18</v>
      </c>
      <c r="G213" s="51" t="s">
        <v>12</v>
      </c>
      <c r="H213" s="51">
        <v>2</v>
      </c>
      <c r="I213" s="51">
        <v>149.99</v>
      </c>
      <c r="J213" s="51" t="s">
        <v>45</v>
      </c>
      <c r="K213" s="51" t="s">
        <v>13</v>
      </c>
      <c r="L213" s="51" t="s">
        <v>51</v>
      </c>
      <c r="M213" s="53">
        <v>44728</v>
      </c>
      <c r="N213" s="51">
        <v>299.98</v>
      </c>
      <c r="O213" s="51">
        <f>MONTH(Table1[[#This Row],[Date]])</f>
        <v>2</v>
      </c>
      <c r="P213" s="51">
        <f>YEAR(Table1[[#This Row],[Date]])</f>
        <v>2025</v>
      </c>
      <c r="R213" s="51"/>
      <c r="S213" s="52"/>
      <c r="T213" s="52"/>
      <c r="U213" s="51"/>
      <c r="V213" s="51"/>
      <c r="W213" s="51"/>
      <c r="X213"/>
      <c r="Z213" s="10"/>
      <c r="AA213" s="10"/>
      <c r="AD213" s="57"/>
      <c r="AE213" s="10"/>
      <c r="AF213" s="10"/>
      <c r="AG213" s="10"/>
    </row>
    <row r="214" customHeight="1" spans="1:33">
      <c r="A214" s="51" t="s">
        <v>368</v>
      </c>
      <c r="B214" s="52">
        <v>45707</v>
      </c>
      <c r="C214" s="51" t="s">
        <v>133</v>
      </c>
      <c r="D214" s="51" t="s">
        <v>134</v>
      </c>
      <c r="E214" s="51" t="s">
        <v>94</v>
      </c>
      <c r="F214" s="51" t="s">
        <v>26</v>
      </c>
      <c r="G214" s="51" t="s">
        <v>10</v>
      </c>
      <c r="H214" s="51">
        <v>5</v>
      </c>
      <c r="I214" s="51">
        <v>699.99</v>
      </c>
      <c r="J214" s="51" t="s">
        <v>56</v>
      </c>
      <c r="K214" s="51" t="s">
        <v>13</v>
      </c>
      <c r="L214" s="51" t="s">
        <v>51</v>
      </c>
      <c r="M214" s="53">
        <v>45352</v>
      </c>
      <c r="N214" s="51">
        <v>3499.95</v>
      </c>
      <c r="O214" s="51">
        <f>MONTH(Table1[[#This Row],[Date]])</f>
        <v>2</v>
      </c>
      <c r="P214" s="51">
        <f>YEAR(Table1[[#This Row],[Date]])</f>
        <v>2025</v>
      </c>
      <c r="R214" s="51"/>
      <c r="S214" s="52"/>
      <c r="T214" s="52"/>
      <c r="U214" s="51"/>
      <c r="V214" s="51"/>
      <c r="W214" s="51"/>
      <c r="X214"/>
      <c r="Z214" s="10"/>
      <c r="AA214" s="10"/>
      <c r="AD214" s="57"/>
      <c r="AE214" s="10"/>
      <c r="AF214" s="10"/>
      <c r="AG214" s="10"/>
    </row>
    <row r="215" customHeight="1" spans="1:33">
      <c r="A215" s="51" t="s">
        <v>369</v>
      </c>
      <c r="B215" s="52">
        <v>45707</v>
      </c>
      <c r="C215" s="51" t="s">
        <v>62</v>
      </c>
      <c r="D215" s="51" t="s">
        <v>63</v>
      </c>
      <c r="E215" s="51" t="s">
        <v>64</v>
      </c>
      <c r="F215" s="51" t="s">
        <v>18</v>
      </c>
      <c r="G215" s="51" t="s">
        <v>12</v>
      </c>
      <c r="H215" s="51">
        <v>3</v>
      </c>
      <c r="I215" s="51">
        <v>149.99</v>
      </c>
      <c r="J215" s="51" t="s">
        <v>56</v>
      </c>
      <c r="K215" s="51" t="s">
        <v>7</v>
      </c>
      <c r="L215" s="51" t="s">
        <v>57</v>
      </c>
      <c r="M215" s="53">
        <v>44633</v>
      </c>
      <c r="N215" s="51">
        <v>449.97</v>
      </c>
      <c r="O215" s="51">
        <f>MONTH(Table1[[#This Row],[Date]])</f>
        <v>2</v>
      </c>
      <c r="P215" s="51">
        <f>YEAR(Table1[[#This Row],[Date]])</f>
        <v>2025</v>
      </c>
      <c r="R215" s="51"/>
      <c r="S215" s="52"/>
      <c r="T215" s="52"/>
      <c r="U215" s="51"/>
      <c r="V215" s="51"/>
      <c r="W215" s="51"/>
      <c r="X215"/>
      <c r="AD215" s="46"/>
      <c r="AE215"/>
      <c r="AF215" s="10"/>
      <c r="AG215" s="10"/>
    </row>
    <row r="216" customHeight="1" spans="1:33">
      <c r="A216" s="51" t="s">
        <v>370</v>
      </c>
      <c r="B216" s="52">
        <v>45708</v>
      </c>
      <c r="C216" s="51" t="s">
        <v>109</v>
      </c>
      <c r="D216" s="51" t="s">
        <v>110</v>
      </c>
      <c r="E216" s="51" t="s">
        <v>77</v>
      </c>
      <c r="F216" s="51" t="s">
        <v>23</v>
      </c>
      <c r="G216" s="51" t="s">
        <v>10</v>
      </c>
      <c r="H216" s="51">
        <v>3</v>
      </c>
      <c r="I216" s="51">
        <v>899.99</v>
      </c>
      <c r="J216" s="51" t="s">
        <v>45</v>
      </c>
      <c r="K216" s="51" t="s">
        <v>9</v>
      </c>
      <c r="L216" s="51" t="s">
        <v>57</v>
      </c>
      <c r="M216" s="53">
        <v>44613</v>
      </c>
      <c r="N216" s="51">
        <v>2699.97</v>
      </c>
      <c r="O216" s="51">
        <f>MONTH(Table1[[#This Row],[Date]])</f>
        <v>2</v>
      </c>
      <c r="P216" s="51">
        <f>YEAR(Table1[[#This Row],[Date]])</f>
        <v>2025</v>
      </c>
      <c r="R216" s="51"/>
      <c r="S216" s="52"/>
      <c r="T216" s="52"/>
      <c r="U216" s="51"/>
      <c r="V216" s="51"/>
      <c r="W216" s="51"/>
      <c r="X216"/>
      <c r="AD216" s="46"/>
      <c r="AE216"/>
      <c r="AF216" s="10"/>
      <c r="AG216" s="10"/>
    </row>
    <row r="217" customHeight="1" spans="1:33">
      <c r="A217" s="51" t="s">
        <v>371</v>
      </c>
      <c r="B217" s="52">
        <v>45708</v>
      </c>
      <c r="C217" s="51" t="s">
        <v>201</v>
      </c>
      <c r="D217" s="51" t="s">
        <v>202</v>
      </c>
      <c r="E217" s="51" t="s">
        <v>136</v>
      </c>
      <c r="F217" s="51" t="s">
        <v>25</v>
      </c>
      <c r="G217" s="51" t="s">
        <v>12</v>
      </c>
      <c r="H217" s="51">
        <v>3</v>
      </c>
      <c r="I217" s="51">
        <v>199.99</v>
      </c>
      <c r="J217" s="51" t="s">
        <v>45</v>
      </c>
      <c r="K217" s="51" t="s">
        <v>15</v>
      </c>
      <c r="L217" s="51" t="s">
        <v>51</v>
      </c>
      <c r="M217" s="53">
        <v>44823</v>
      </c>
      <c r="N217" s="51">
        <v>599.97</v>
      </c>
      <c r="O217" s="51">
        <f>MONTH(Table1[[#This Row],[Date]])</f>
        <v>2</v>
      </c>
      <c r="P217" s="51">
        <f>YEAR(Table1[[#This Row],[Date]])</f>
        <v>2025</v>
      </c>
      <c r="R217" s="51"/>
      <c r="S217" s="52"/>
      <c r="T217" s="52"/>
      <c r="U217" s="51"/>
      <c r="V217" s="51"/>
      <c r="W217" s="51"/>
      <c r="X217"/>
      <c r="AD217" s="46"/>
      <c r="AE217"/>
      <c r="AF217" s="10"/>
      <c r="AG217" s="10"/>
    </row>
    <row r="218" customHeight="1" spans="1:33">
      <c r="A218" s="51" t="s">
        <v>372</v>
      </c>
      <c r="B218" s="52">
        <v>45710</v>
      </c>
      <c r="C218" s="51" t="s">
        <v>71</v>
      </c>
      <c r="D218" s="51" t="s">
        <v>72</v>
      </c>
      <c r="E218" s="51" t="s">
        <v>118</v>
      </c>
      <c r="F218" s="51" t="s">
        <v>20</v>
      </c>
      <c r="G218" s="51" t="s">
        <v>12</v>
      </c>
      <c r="H218" s="51">
        <v>5</v>
      </c>
      <c r="I218" s="51">
        <v>299.99</v>
      </c>
      <c r="J218" s="51" t="s">
        <v>45</v>
      </c>
      <c r="K218" s="51" t="s">
        <v>15</v>
      </c>
      <c r="L218" s="51" t="s">
        <v>57</v>
      </c>
      <c r="M218" s="53">
        <v>45142</v>
      </c>
      <c r="N218" s="51">
        <v>1499.95</v>
      </c>
      <c r="O218" s="51">
        <f>MONTH(Table1[[#This Row],[Date]])</f>
        <v>2</v>
      </c>
      <c r="P218" s="51">
        <f>YEAR(Table1[[#This Row],[Date]])</f>
        <v>2025</v>
      </c>
      <c r="R218" s="51"/>
      <c r="S218" s="52"/>
      <c r="T218" s="52"/>
      <c r="U218" s="51"/>
      <c r="V218" s="51"/>
      <c r="W218" s="51"/>
      <c r="X218"/>
      <c r="AD218" s="46"/>
      <c r="AE218"/>
      <c r="AF218" s="10"/>
      <c r="AG218" s="10"/>
    </row>
    <row r="219" customHeight="1" spans="1:33">
      <c r="A219" s="51" t="s">
        <v>373</v>
      </c>
      <c r="B219" s="52">
        <v>45710</v>
      </c>
      <c r="C219" s="51" t="s">
        <v>159</v>
      </c>
      <c r="D219" s="51" t="s">
        <v>160</v>
      </c>
      <c r="E219" s="51" t="s">
        <v>94</v>
      </c>
      <c r="F219" s="51" t="s">
        <v>26</v>
      </c>
      <c r="G219" s="51" t="s">
        <v>10</v>
      </c>
      <c r="H219" s="51">
        <v>1</v>
      </c>
      <c r="I219" s="51">
        <v>699.99</v>
      </c>
      <c r="J219" s="51" t="s">
        <v>56</v>
      </c>
      <c r="K219" s="51" t="s">
        <v>15</v>
      </c>
      <c r="L219" s="51" t="s">
        <v>46</v>
      </c>
      <c r="M219" s="53">
        <v>44934</v>
      </c>
      <c r="N219" s="51">
        <v>699.99</v>
      </c>
      <c r="O219" s="51">
        <f>MONTH(Table1[[#This Row],[Date]])</f>
        <v>2</v>
      </c>
      <c r="P219" s="51">
        <f>YEAR(Table1[[#This Row],[Date]])</f>
        <v>2025</v>
      </c>
      <c r="R219" s="51"/>
      <c r="S219" s="52"/>
      <c r="T219" s="52"/>
      <c r="U219" s="51"/>
      <c r="V219" s="51"/>
      <c r="W219" s="51"/>
      <c r="X219"/>
      <c r="AD219" s="46"/>
      <c r="AE219"/>
      <c r="AF219" s="10"/>
      <c r="AG219" s="10"/>
    </row>
    <row r="220" customHeight="1" spans="1:33">
      <c r="A220" s="51" t="s">
        <v>374</v>
      </c>
      <c r="B220" s="52">
        <v>45711</v>
      </c>
      <c r="C220" s="51" t="s">
        <v>255</v>
      </c>
      <c r="D220" s="51" t="s">
        <v>256</v>
      </c>
      <c r="E220" s="51" t="s">
        <v>94</v>
      </c>
      <c r="F220" s="51" t="s">
        <v>26</v>
      </c>
      <c r="G220" s="51" t="s">
        <v>10</v>
      </c>
      <c r="H220" s="51">
        <v>1</v>
      </c>
      <c r="I220" s="51">
        <v>699.99</v>
      </c>
      <c r="J220" s="51" t="s">
        <v>45</v>
      </c>
      <c r="K220" s="51" t="s">
        <v>11</v>
      </c>
      <c r="L220" s="51" t="s">
        <v>51</v>
      </c>
      <c r="M220" s="53">
        <v>44583</v>
      </c>
      <c r="N220" s="51">
        <v>699.99</v>
      </c>
      <c r="O220" s="51">
        <f>MONTH(Table1[[#This Row],[Date]])</f>
        <v>2</v>
      </c>
      <c r="P220" s="51">
        <f>YEAR(Table1[[#This Row],[Date]])</f>
        <v>2025</v>
      </c>
      <c r="R220" s="51"/>
      <c r="S220" s="52"/>
      <c r="T220" s="52"/>
      <c r="U220" s="51"/>
      <c r="V220" s="51"/>
      <c r="W220" s="51"/>
      <c r="X220"/>
      <c r="AD220" s="46"/>
      <c r="AE220"/>
      <c r="AF220" s="10"/>
      <c r="AG220" s="10"/>
    </row>
    <row r="221" customHeight="1" spans="1:33">
      <c r="A221" s="51" t="s">
        <v>375</v>
      </c>
      <c r="B221" s="52">
        <v>45711</v>
      </c>
      <c r="C221" s="51" t="s">
        <v>334</v>
      </c>
      <c r="D221" s="51" t="s">
        <v>335</v>
      </c>
      <c r="E221" s="51" t="s">
        <v>64</v>
      </c>
      <c r="F221" s="51" t="s">
        <v>18</v>
      </c>
      <c r="G221" s="51" t="s">
        <v>12</v>
      </c>
      <c r="H221" s="51">
        <v>4</v>
      </c>
      <c r="I221" s="51">
        <v>149.99</v>
      </c>
      <c r="J221" s="51" t="s">
        <v>56</v>
      </c>
      <c r="K221" s="51" t="s">
        <v>11</v>
      </c>
      <c r="L221" s="51" t="s">
        <v>51</v>
      </c>
      <c r="M221" s="53">
        <v>44412</v>
      </c>
      <c r="N221" s="51">
        <v>599.96</v>
      </c>
      <c r="O221" s="51">
        <f>MONTH(Table1[[#This Row],[Date]])</f>
        <v>2</v>
      </c>
      <c r="P221" s="51">
        <f>YEAR(Table1[[#This Row],[Date]])</f>
        <v>2025</v>
      </c>
      <c r="R221" s="51"/>
      <c r="S221" s="52"/>
      <c r="T221" s="52"/>
      <c r="U221" s="51"/>
      <c r="V221" s="51"/>
      <c r="W221" s="51"/>
      <c r="X221"/>
      <c r="AD221" s="46"/>
      <c r="AE221"/>
      <c r="AF221" s="10"/>
      <c r="AG221" s="10"/>
    </row>
    <row r="222" customHeight="1" spans="1:33">
      <c r="A222" s="51" t="s">
        <v>376</v>
      </c>
      <c r="B222" s="52">
        <v>45711</v>
      </c>
      <c r="C222" s="51" t="s">
        <v>220</v>
      </c>
      <c r="D222" s="51" t="s">
        <v>221</v>
      </c>
      <c r="E222" s="51" t="s">
        <v>128</v>
      </c>
      <c r="F222" s="51" t="s">
        <v>22</v>
      </c>
      <c r="G222" s="51" t="s">
        <v>10</v>
      </c>
      <c r="H222" s="51">
        <v>5</v>
      </c>
      <c r="I222" s="51">
        <v>89.99</v>
      </c>
      <c r="J222" s="51" t="s">
        <v>56</v>
      </c>
      <c r="K222" s="51" t="s">
        <v>15</v>
      </c>
      <c r="L222" s="51" t="s">
        <v>51</v>
      </c>
      <c r="M222" s="53">
        <v>45140</v>
      </c>
      <c r="N222" s="51">
        <v>449.95</v>
      </c>
      <c r="O222" s="51">
        <f>MONTH(Table1[[#This Row],[Date]])</f>
        <v>2</v>
      </c>
      <c r="P222" s="51">
        <f>YEAR(Table1[[#This Row],[Date]])</f>
        <v>2025</v>
      </c>
      <c r="R222" s="51"/>
      <c r="S222" s="52"/>
      <c r="T222" s="52"/>
      <c r="U222" s="51"/>
      <c r="V222" s="51"/>
      <c r="W222" s="51"/>
      <c r="X222"/>
      <c r="AD222" s="46"/>
      <c r="AE222"/>
      <c r="AF222" s="10"/>
      <c r="AG222" s="10"/>
    </row>
    <row r="223" customHeight="1" spans="1:33">
      <c r="A223" s="51" t="s">
        <v>377</v>
      </c>
      <c r="B223" s="52">
        <v>45712</v>
      </c>
      <c r="C223" s="51" t="s">
        <v>147</v>
      </c>
      <c r="D223" s="51" t="s">
        <v>148</v>
      </c>
      <c r="E223" s="51" t="s">
        <v>136</v>
      </c>
      <c r="F223" s="51" t="s">
        <v>25</v>
      </c>
      <c r="G223" s="51" t="s">
        <v>12</v>
      </c>
      <c r="H223" s="51">
        <v>2</v>
      </c>
      <c r="I223" s="51">
        <v>199.99</v>
      </c>
      <c r="J223" s="51" t="s">
        <v>45</v>
      </c>
      <c r="K223" s="51" t="s">
        <v>7</v>
      </c>
      <c r="L223" s="51" t="s">
        <v>51</v>
      </c>
      <c r="M223" s="53">
        <v>44573</v>
      </c>
      <c r="N223" s="51">
        <v>399.98</v>
      </c>
      <c r="O223" s="51">
        <f>MONTH(Table1[[#This Row],[Date]])</f>
        <v>2</v>
      </c>
      <c r="P223" s="51">
        <f>YEAR(Table1[[#This Row],[Date]])</f>
        <v>2025</v>
      </c>
      <c r="R223" s="51"/>
      <c r="S223" s="52"/>
      <c r="T223" s="52"/>
      <c r="U223" s="51"/>
      <c r="V223" s="51"/>
      <c r="W223" s="51"/>
      <c r="X223"/>
      <c r="AD223" s="46"/>
      <c r="AE223"/>
      <c r="AF223" s="10"/>
      <c r="AG223" s="10"/>
    </row>
    <row r="224" customHeight="1" spans="1:33">
      <c r="A224" s="51" t="s">
        <v>378</v>
      </c>
      <c r="B224" s="52">
        <v>45715</v>
      </c>
      <c r="C224" s="51" t="s">
        <v>268</v>
      </c>
      <c r="D224" s="51" t="s">
        <v>269</v>
      </c>
      <c r="E224" s="51" t="s">
        <v>55</v>
      </c>
      <c r="F224" s="51" t="s">
        <v>17</v>
      </c>
      <c r="G224" s="51" t="s">
        <v>8</v>
      </c>
      <c r="H224" s="51">
        <v>4</v>
      </c>
      <c r="I224" s="51">
        <v>59.99</v>
      </c>
      <c r="J224" s="51" t="s">
        <v>45</v>
      </c>
      <c r="K224" s="51" t="s">
        <v>15</v>
      </c>
      <c r="L224" s="51" t="s">
        <v>57</v>
      </c>
      <c r="M224" s="53">
        <v>45070</v>
      </c>
      <c r="N224" s="51">
        <v>239.96</v>
      </c>
      <c r="O224" s="51">
        <f>MONTH(Table1[[#This Row],[Date]])</f>
        <v>2</v>
      </c>
      <c r="P224" s="51">
        <f>YEAR(Table1[[#This Row],[Date]])</f>
        <v>2025</v>
      </c>
      <c r="R224" s="51"/>
      <c r="S224" s="52"/>
      <c r="T224" s="52"/>
      <c r="U224" s="51"/>
      <c r="V224" s="51"/>
      <c r="W224" s="51"/>
      <c r="X224"/>
      <c r="AD224" s="46"/>
      <c r="AE224"/>
      <c r="AF224" s="10"/>
      <c r="AG224" s="10"/>
    </row>
    <row r="225" customHeight="1" spans="1:33">
      <c r="A225" s="51" t="s">
        <v>379</v>
      </c>
      <c r="B225" s="52">
        <v>45715</v>
      </c>
      <c r="C225" s="51" t="s">
        <v>106</v>
      </c>
      <c r="D225" s="51" t="s">
        <v>107</v>
      </c>
      <c r="E225" s="51" t="s">
        <v>118</v>
      </c>
      <c r="F225" s="51" t="s">
        <v>20</v>
      </c>
      <c r="G225" s="51" t="s">
        <v>12</v>
      </c>
      <c r="H225" s="51">
        <v>2</v>
      </c>
      <c r="I225" s="51">
        <v>299.99</v>
      </c>
      <c r="J225" s="51" t="s">
        <v>56</v>
      </c>
      <c r="K225" s="51" t="s">
        <v>13</v>
      </c>
      <c r="L225" s="51" t="s">
        <v>46</v>
      </c>
      <c r="M225" s="53">
        <v>44576</v>
      </c>
      <c r="N225" s="51">
        <v>599.98</v>
      </c>
      <c r="O225" s="51">
        <f>MONTH(Table1[[#This Row],[Date]])</f>
        <v>2</v>
      </c>
      <c r="P225" s="51">
        <f>YEAR(Table1[[#This Row],[Date]])</f>
        <v>2025</v>
      </c>
      <c r="R225" s="51"/>
      <c r="S225" s="52"/>
      <c r="T225" s="52"/>
      <c r="U225" s="51"/>
      <c r="V225" s="51"/>
      <c r="W225" s="51"/>
      <c r="X225"/>
      <c r="AD225" s="46"/>
      <c r="AE225"/>
      <c r="AF225" s="10"/>
      <c r="AG225" s="10"/>
    </row>
    <row r="226" customHeight="1" spans="1:33">
      <c r="A226" s="51" t="s">
        <v>380</v>
      </c>
      <c r="B226" s="52">
        <v>45718</v>
      </c>
      <c r="C226" s="51" t="s">
        <v>71</v>
      </c>
      <c r="D226" s="51" t="s">
        <v>72</v>
      </c>
      <c r="E226" s="51" t="s">
        <v>64</v>
      </c>
      <c r="F226" s="51" t="s">
        <v>18</v>
      </c>
      <c r="G226" s="51" t="s">
        <v>12</v>
      </c>
      <c r="H226" s="51">
        <v>2</v>
      </c>
      <c r="I226" s="51">
        <v>149.99</v>
      </c>
      <c r="J226" s="51" t="s">
        <v>45</v>
      </c>
      <c r="K226" s="51" t="s">
        <v>7</v>
      </c>
      <c r="L226" s="51" t="s">
        <v>46</v>
      </c>
      <c r="M226" s="53">
        <v>45068</v>
      </c>
      <c r="N226" s="51">
        <v>299.98</v>
      </c>
      <c r="O226" s="51">
        <f>MONTH(Table1[[#This Row],[Date]])</f>
        <v>3</v>
      </c>
      <c r="P226" s="51">
        <f>YEAR(Table1[[#This Row],[Date]])</f>
        <v>2025</v>
      </c>
      <c r="R226" s="51"/>
      <c r="S226" s="52"/>
      <c r="T226" s="52"/>
      <c r="U226" s="51"/>
      <c r="V226" s="51"/>
      <c r="W226" s="51"/>
      <c r="X226"/>
      <c r="AD226" s="46"/>
      <c r="AE226"/>
      <c r="AF226" s="10"/>
      <c r="AG226" s="10"/>
    </row>
    <row r="227" customHeight="1" spans="1:33">
      <c r="A227" s="51" t="s">
        <v>381</v>
      </c>
      <c r="B227" s="52">
        <v>45720</v>
      </c>
      <c r="C227" s="51" t="s">
        <v>235</v>
      </c>
      <c r="D227" s="51" t="s">
        <v>236</v>
      </c>
      <c r="E227" s="51" t="s">
        <v>94</v>
      </c>
      <c r="F227" s="51" t="s">
        <v>26</v>
      </c>
      <c r="G227" s="51" t="s">
        <v>10</v>
      </c>
      <c r="H227" s="51">
        <v>5</v>
      </c>
      <c r="I227" s="51">
        <v>699.99</v>
      </c>
      <c r="J227" s="51" t="s">
        <v>73</v>
      </c>
      <c r="K227" s="51" t="s">
        <v>9</v>
      </c>
      <c r="L227" s="51" t="s">
        <v>51</v>
      </c>
      <c r="M227" s="53">
        <v>45161</v>
      </c>
      <c r="N227" s="51">
        <v>3499.95</v>
      </c>
      <c r="O227" s="51">
        <f>MONTH(Table1[[#This Row],[Date]])</f>
        <v>3</v>
      </c>
      <c r="P227" s="51">
        <f>YEAR(Table1[[#This Row],[Date]])</f>
        <v>2025</v>
      </c>
      <c r="R227" s="51"/>
      <c r="S227" s="52"/>
      <c r="T227" s="52"/>
      <c r="U227" s="51"/>
      <c r="V227" s="51"/>
      <c r="W227" s="51"/>
      <c r="X227"/>
      <c r="AD227" s="46"/>
      <c r="AE227"/>
      <c r="AF227" s="10"/>
      <c r="AG227" s="10"/>
    </row>
    <row r="228" customHeight="1" spans="1:33">
      <c r="A228" s="51" t="s">
        <v>382</v>
      </c>
      <c r="B228" s="52">
        <v>45721</v>
      </c>
      <c r="C228" s="51" t="s">
        <v>89</v>
      </c>
      <c r="D228" s="51" t="s">
        <v>90</v>
      </c>
      <c r="E228" s="51" t="s">
        <v>55</v>
      </c>
      <c r="F228" s="51" t="s">
        <v>17</v>
      </c>
      <c r="G228" s="51" t="s">
        <v>8</v>
      </c>
      <c r="H228" s="51">
        <v>5</v>
      </c>
      <c r="I228" s="51">
        <v>59.99</v>
      </c>
      <c r="J228" s="51" t="s">
        <v>45</v>
      </c>
      <c r="K228" s="51" t="s">
        <v>15</v>
      </c>
      <c r="L228" s="51" t="s">
        <v>51</v>
      </c>
      <c r="M228" s="53">
        <v>45291</v>
      </c>
      <c r="N228" s="51">
        <v>299.95</v>
      </c>
      <c r="O228" s="51">
        <f>MONTH(Table1[[#This Row],[Date]])</f>
        <v>3</v>
      </c>
      <c r="P228" s="51">
        <f>YEAR(Table1[[#This Row],[Date]])</f>
        <v>2025</v>
      </c>
      <c r="R228" s="51"/>
      <c r="S228" s="52"/>
      <c r="T228" s="52"/>
      <c r="U228" s="51"/>
      <c r="V228" s="51"/>
      <c r="W228" s="51"/>
      <c r="X228"/>
      <c r="AD228" s="46"/>
      <c r="AE228"/>
      <c r="AF228" s="10"/>
      <c r="AG228" s="10"/>
    </row>
    <row r="229" customHeight="1" spans="1:33">
      <c r="A229" s="51" t="s">
        <v>383</v>
      </c>
      <c r="B229" s="52">
        <v>45723</v>
      </c>
      <c r="C229" s="51" t="s">
        <v>42</v>
      </c>
      <c r="D229" s="51" t="s">
        <v>43</v>
      </c>
      <c r="E229" s="51" t="s">
        <v>128</v>
      </c>
      <c r="F229" s="51" t="s">
        <v>22</v>
      </c>
      <c r="G229" s="51" t="s">
        <v>10</v>
      </c>
      <c r="H229" s="51">
        <v>2</v>
      </c>
      <c r="I229" s="51">
        <v>89.99</v>
      </c>
      <c r="J229" s="51" t="s">
        <v>50</v>
      </c>
      <c r="K229" s="51" t="s">
        <v>15</v>
      </c>
      <c r="L229" s="51" t="s">
        <v>51</v>
      </c>
      <c r="M229" s="53">
        <v>45295</v>
      </c>
      <c r="N229" s="51">
        <v>179.98</v>
      </c>
      <c r="O229" s="51">
        <f>MONTH(Table1[[#This Row],[Date]])</f>
        <v>3</v>
      </c>
      <c r="P229" s="51">
        <f>YEAR(Table1[[#This Row],[Date]])</f>
        <v>2025</v>
      </c>
      <c r="R229" s="51"/>
      <c r="S229" s="52"/>
      <c r="T229" s="52"/>
      <c r="U229" s="51"/>
      <c r="V229" s="51"/>
      <c r="W229" s="51"/>
      <c r="X229"/>
      <c r="AD229" s="46"/>
      <c r="AE229"/>
      <c r="AF229" s="10"/>
      <c r="AG229" s="10"/>
    </row>
    <row r="230" customHeight="1" spans="1:33">
      <c r="A230" s="51" t="s">
        <v>384</v>
      </c>
      <c r="B230" s="52">
        <v>45723</v>
      </c>
      <c r="C230" s="51" t="s">
        <v>130</v>
      </c>
      <c r="D230" s="51" t="s">
        <v>131</v>
      </c>
      <c r="E230" s="51" t="s">
        <v>44</v>
      </c>
      <c r="F230" s="51" t="s">
        <v>24</v>
      </c>
      <c r="G230" s="51" t="s">
        <v>10</v>
      </c>
      <c r="H230" s="51">
        <v>5</v>
      </c>
      <c r="I230" s="51">
        <v>249.99</v>
      </c>
      <c r="J230" s="51" t="s">
        <v>45</v>
      </c>
      <c r="K230" s="51" t="s">
        <v>9</v>
      </c>
      <c r="L230" s="51" t="s">
        <v>57</v>
      </c>
      <c r="M230" s="53">
        <v>44540</v>
      </c>
      <c r="N230" s="51">
        <v>1249.95</v>
      </c>
      <c r="O230" s="51">
        <f>MONTH(Table1[[#This Row],[Date]])</f>
        <v>3</v>
      </c>
      <c r="P230" s="51">
        <f>YEAR(Table1[[#This Row],[Date]])</f>
        <v>2025</v>
      </c>
      <c r="R230" s="51"/>
      <c r="S230" s="52"/>
      <c r="T230" s="52"/>
      <c r="U230" s="51"/>
      <c r="V230" s="51"/>
      <c r="W230" s="51"/>
      <c r="X230"/>
      <c r="AD230" s="46"/>
      <c r="AE230"/>
      <c r="AF230" s="10"/>
      <c r="AG230" s="10"/>
    </row>
    <row r="231" customHeight="1" spans="1:33">
      <c r="A231" s="51" t="s">
        <v>385</v>
      </c>
      <c r="B231" s="52">
        <v>45724</v>
      </c>
      <c r="C231" s="51" t="s">
        <v>235</v>
      </c>
      <c r="D231" s="51" t="s">
        <v>236</v>
      </c>
      <c r="E231" s="51" t="s">
        <v>64</v>
      </c>
      <c r="F231" s="51" t="s">
        <v>18</v>
      </c>
      <c r="G231" s="51" t="s">
        <v>12</v>
      </c>
      <c r="H231" s="51">
        <v>2</v>
      </c>
      <c r="I231" s="51">
        <v>149.99</v>
      </c>
      <c r="J231" s="51" t="s">
        <v>56</v>
      </c>
      <c r="K231" s="51" t="s">
        <v>7</v>
      </c>
      <c r="L231" s="51" t="s">
        <v>51</v>
      </c>
      <c r="M231" s="53">
        <v>44632</v>
      </c>
      <c r="N231" s="51">
        <v>299.98</v>
      </c>
      <c r="O231" s="51">
        <f>MONTH(Table1[[#This Row],[Date]])</f>
        <v>3</v>
      </c>
      <c r="P231" s="51">
        <f>YEAR(Table1[[#This Row],[Date]])</f>
        <v>2025</v>
      </c>
      <c r="R231" s="51"/>
      <c r="S231" s="52"/>
      <c r="T231" s="52"/>
      <c r="U231" s="51"/>
      <c r="V231" s="51"/>
      <c r="W231" s="51"/>
      <c r="X231"/>
      <c r="AD231" s="46"/>
      <c r="AE231"/>
      <c r="AF231" s="10"/>
      <c r="AG231" s="10"/>
    </row>
    <row r="232" customHeight="1" spans="1:33">
      <c r="A232" s="51" t="s">
        <v>386</v>
      </c>
      <c r="B232" s="52">
        <v>45724</v>
      </c>
      <c r="C232" s="51" t="s">
        <v>153</v>
      </c>
      <c r="D232" s="51" t="s">
        <v>154</v>
      </c>
      <c r="E232" s="51" t="s">
        <v>77</v>
      </c>
      <c r="F232" s="51" t="s">
        <v>23</v>
      </c>
      <c r="G232" s="51" t="s">
        <v>10</v>
      </c>
      <c r="H232" s="51">
        <v>5</v>
      </c>
      <c r="I232" s="51">
        <v>899.99</v>
      </c>
      <c r="J232" s="51" t="s">
        <v>56</v>
      </c>
      <c r="K232" s="51" t="s">
        <v>9</v>
      </c>
      <c r="L232" s="51" t="s">
        <v>51</v>
      </c>
      <c r="M232" s="53">
        <v>45389</v>
      </c>
      <c r="N232" s="51">
        <v>4499.95</v>
      </c>
      <c r="O232" s="51">
        <f>MONTH(Table1[[#This Row],[Date]])</f>
        <v>3</v>
      </c>
      <c r="P232" s="51">
        <f>YEAR(Table1[[#This Row],[Date]])</f>
        <v>2025</v>
      </c>
      <c r="R232" s="51"/>
      <c r="S232" s="52"/>
      <c r="T232" s="52"/>
      <c r="U232" s="51"/>
      <c r="V232" s="51"/>
      <c r="W232" s="51"/>
      <c r="X232"/>
      <c r="AD232" s="46"/>
      <c r="AE232"/>
      <c r="AF232" s="10"/>
      <c r="AG232" s="10"/>
    </row>
    <row r="233" customHeight="1" spans="1:33">
      <c r="A233" s="51" t="s">
        <v>387</v>
      </c>
      <c r="B233" s="52">
        <v>45724</v>
      </c>
      <c r="C233" s="51" t="s">
        <v>71</v>
      </c>
      <c r="D233" s="51" t="s">
        <v>72</v>
      </c>
      <c r="E233" s="51" t="s">
        <v>64</v>
      </c>
      <c r="F233" s="51" t="s">
        <v>18</v>
      </c>
      <c r="G233" s="51" t="s">
        <v>12</v>
      </c>
      <c r="H233" s="51">
        <v>4</v>
      </c>
      <c r="I233" s="51">
        <v>149.99</v>
      </c>
      <c r="J233" s="51" t="s">
        <v>45</v>
      </c>
      <c r="K233" s="51" t="s">
        <v>7</v>
      </c>
      <c r="L233" s="51" t="s">
        <v>57</v>
      </c>
      <c r="M233" s="53">
        <v>45263</v>
      </c>
      <c r="N233" s="51">
        <v>599.96</v>
      </c>
      <c r="O233" s="51">
        <f>MONTH(Table1[[#This Row],[Date]])</f>
        <v>3</v>
      </c>
      <c r="P233" s="51">
        <f>YEAR(Table1[[#This Row],[Date]])</f>
        <v>2025</v>
      </c>
      <c r="R233" s="51"/>
      <c r="S233" s="52"/>
      <c r="T233" s="52"/>
      <c r="U233" s="51"/>
      <c r="V233" s="51"/>
      <c r="W233" s="51"/>
      <c r="X233"/>
      <c r="AD233" s="46"/>
      <c r="AE233"/>
      <c r="AF233" s="10"/>
      <c r="AG233" s="10"/>
    </row>
    <row r="234" customHeight="1" spans="1:33">
      <c r="A234" s="51" t="s">
        <v>388</v>
      </c>
      <c r="B234" s="52">
        <v>45726</v>
      </c>
      <c r="C234" s="51" t="s">
        <v>153</v>
      </c>
      <c r="D234" s="51" t="s">
        <v>154</v>
      </c>
      <c r="E234" s="51" t="s">
        <v>44</v>
      </c>
      <c r="F234" s="51" t="s">
        <v>24</v>
      </c>
      <c r="G234" s="51" t="s">
        <v>10</v>
      </c>
      <c r="H234" s="51">
        <v>1</v>
      </c>
      <c r="I234" s="51">
        <v>249.99</v>
      </c>
      <c r="J234" s="51" t="s">
        <v>45</v>
      </c>
      <c r="K234" s="51" t="s">
        <v>11</v>
      </c>
      <c r="L234" s="51" t="s">
        <v>57</v>
      </c>
      <c r="M234" s="53">
        <v>45117</v>
      </c>
      <c r="N234" s="51">
        <v>249.99</v>
      </c>
      <c r="O234" s="51">
        <f>MONTH(Table1[[#This Row],[Date]])</f>
        <v>3</v>
      </c>
      <c r="P234" s="51">
        <f>YEAR(Table1[[#This Row],[Date]])</f>
        <v>2025</v>
      </c>
      <c r="R234" s="51"/>
      <c r="S234" s="52"/>
      <c r="T234" s="52"/>
      <c r="U234" s="51"/>
      <c r="V234" s="51"/>
      <c r="W234" s="51"/>
      <c r="X234"/>
      <c r="AD234" s="46"/>
      <c r="AE234"/>
      <c r="AF234" s="10"/>
      <c r="AG234" s="10"/>
    </row>
    <row r="235" customHeight="1" spans="1:33">
      <c r="A235" s="51" t="s">
        <v>389</v>
      </c>
      <c r="B235" s="52">
        <v>45734</v>
      </c>
      <c r="C235" s="51" t="s">
        <v>201</v>
      </c>
      <c r="D235" s="51" t="s">
        <v>202</v>
      </c>
      <c r="E235" s="51" t="s">
        <v>55</v>
      </c>
      <c r="F235" s="51" t="s">
        <v>17</v>
      </c>
      <c r="G235" s="51" t="s">
        <v>8</v>
      </c>
      <c r="H235" s="51">
        <v>2</v>
      </c>
      <c r="I235" s="51">
        <v>59.99</v>
      </c>
      <c r="J235" s="51" t="s">
        <v>50</v>
      </c>
      <c r="K235" s="51" t="s">
        <v>15</v>
      </c>
      <c r="L235" s="51" t="s">
        <v>46</v>
      </c>
      <c r="M235" s="53">
        <v>45193</v>
      </c>
      <c r="N235" s="51">
        <v>119.98</v>
      </c>
      <c r="O235" s="51">
        <f>MONTH(Table1[[#This Row],[Date]])</f>
        <v>3</v>
      </c>
      <c r="P235" s="51">
        <f>YEAR(Table1[[#This Row],[Date]])</f>
        <v>2025</v>
      </c>
      <c r="R235" s="51"/>
      <c r="S235" s="52"/>
      <c r="T235" s="52"/>
      <c r="U235" s="51"/>
      <c r="V235" s="51"/>
      <c r="W235" s="51"/>
      <c r="X235"/>
      <c r="AD235" s="46"/>
      <c r="AE235"/>
      <c r="AF235" s="10"/>
      <c r="AG235" s="10"/>
    </row>
    <row r="236" customHeight="1" spans="1:33">
      <c r="A236" s="51" t="s">
        <v>390</v>
      </c>
      <c r="B236" s="52">
        <v>45737</v>
      </c>
      <c r="C236" s="51" t="s">
        <v>141</v>
      </c>
      <c r="D236" s="51" t="s">
        <v>142</v>
      </c>
      <c r="E236" s="51" t="s">
        <v>64</v>
      </c>
      <c r="F236" s="51" t="s">
        <v>18</v>
      </c>
      <c r="G236" s="51" t="s">
        <v>12</v>
      </c>
      <c r="H236" s="51">
        <v>2</v>
      </c>
      <c r="I236" s="51">
        <v>149.99</v>
      </c>
      <c r="J236" s="51" t="s">
        <v>45</v>
      </c>
      <c r="K236" s="51" t="s">
        <v>15</v>
      </c>
      <c r="L236" s="51" t="s">
        <v>51</v>
      </c>
      <c r="M236" s="53">
        <v>45233</v>
      </c>
      <c r="N236" s="51">
        <v>299.98</v>
      </c>
      <c r="O236" s="51">
        <f>MONTH(Table1[[#This Row],[Date]])</f>
        <v>3</v>
      </c>
      <c r="P236" s="51">
        <f>YEAR(Table1[[#This Row],[Date]])</f>
        <v>2025</v>
      </c>
      <c r="R236" s="51"/>
      <c r="S236" s="52"/>
      <c r="T236" s="52"/>
      <c r="U236" s="51"/>
      <c r="V236" s="51"/>
      <c r="W236" s="51"/>
      <c r="X236"/>
      <c r="AD236" s="46"/>
      <c r="AE236"/>
      <c r="AF236" s="10"/>
      <c r="AG236" s="10"/>
    </row>
    <row r="237" customHeight="1" spans="1:33">
      <c r="A237" s="51" t="s">
        <v>391</v>
      </c>
      <c r="B237" s="52">
        <v>45737</v>
      </c>
      <c r="C237" s="51" t="s">
        <v>159</v>
      </c>
      <c r="D237" s="51" t="s">
        <v>160</v>
      </c>
      <c r="E237" s="51" t="s">
        <v>77</v>
      </c>
      <c r="F237" s="51" t="s">
        <v>23</v>
      </c>
      <c r="G237" s="51" t="s">
        <v>10</v>
      </c>
      <c r="H237" s="51">
        <v>3</v>
      </c>
      <c r="I237" s="51">
        <v>899.99</v>
      </c>
      <c r="J237" s="51" t="s">
        <v>73</v>
      </c>
      <c r="K237" s="51" t="s">
        <v>11</v>
      </c>
      <c r="L237" s="51" t="s">
        <v>51</v>
      </c>
      <c r="M237" s="53">
        <v>44876</v>
      </c>
      <c r="N237" s="51">
        <v>2699.97</v>
      </c>
      <c r="O237" s="51">
        <f>MONTH(Table1[[#This Row],[Date]])</f>
        <v>3</v>
      </c>
      <c r="P237" s="51">
        <f>YEAR(Table1[[#This Row],[Date]])</f>
        <v>2025</v>
      </c>
      <c r="R237" s="51"/>
      <c r="S237" s="52"/>
      <c r="T237" s="52"/>
      <c r="U237" s="51"/>
      <c r="V237" s="51"/>
      <c r="W237" s="51"/>
      <c r="X237"/>
      <c r="AD237" s="46"/>
      <c r="AE237"/>
      <c r="AF237" s="10"/>
      <c r="AG237" s="10"/>
    </row>
    <row r="238" customHeight="1" spans="1:33">
      <c r="A238" s="51" t="s">
        <v>392</v>
      </c>
      <c r="B238" s="52">
        <v>45737</v>
      </c>
      <c r="C238" s="51" t="s">
        <v>66</v>
      </c>
      <c r="D238" s="51" t="s">
        <v>67</v>
      </c>
      <c r="E238" s="51" t="s">
        <v>77</v>
      </c>
      <c r="F238" s="51" t="s">
        <v>23</v>
      </c>
      <c r="G238" s="51" t="s">
        <v>10</v>
      </c>
      <c r="H238" s="51">
        <v>3</v>
      </c>
      <c r="I238" s="51">
        <v>899.99</v>
      </c>
      <c r="J238" s="51" t="s">
        <v>56</v>
      </c>
      <c r="K238" s="51" t="s">
        <v>11</v>
      </c>
      <c r="L238" s="51" t="s">
        <v>46</v>
      </c>
      <c r="M238" s="53">
        <v>44975</v>
      </c>
      <c r="N238" s="51">
        <v>2699.97</v>
      </c>
      <c r="O238" s="51">
        <f>MONTH(Table1[[#This Row],[Date]])</f>
        <v>3</v>
      </c>
      <c r="P238" s="51">
        <f>YEAR(Table1[[#This Row],[Date]])</f>
        <v>2025</v>
      </c>
      <c r="R238" s="51"/>
      <c r="S238" s="52"/>
      <c r="T238" s="52"/>
      <c r="U238" s="51"/>
      <c r="V238" s="51"/>
      <c r="W238" s="51"/>
      <c r="X238"/>
      <c r="AD238" s="46"/>
      <c r="AE238"/>
      <c r="AF238" s="10"/>
      <c r="AG238" s="10"/>
    </row>
    <row r="239" customHeight="1" spans="1:33">
      <c r="A239" s="51" t="s">
        <v>393</v>
      </c>
      <c r="B239" s="52">
        <v>45739</v>
      </c>
      <c r="C239" s="51" t="s">
        <v>42</v>
      </c>
      <c r="D239" s="51" t="s">
        <v>43</v>
      </c>
      <c r="E239" s="51" t="s">
        <v>118</v>
      </c>
      <c r="F239" s="51" t="s">
        <v>20</v>
      </c>
      <c r="G239" s="51" t="s">
        <v>12</v>
      </c>
      <c r="H239" s="51">
        <v>3</v>
      </c>
      <c r="I239" s="51">
        <v>299.99</v>
      </c>
      <c r="J239" s="51" t="s">
        <v>50</v>
      </c>
      <c r="K239" s="51" t="s">
        <v>15</v>
      </c>
      <c r="L239" s="51" t="s">
        <v>51</v>
      </c>
      <c r="M239" s="53">
        <v>45234</v>
      </c>
      <c r="N239" s="51">
        <v>899.97</v>
      </c>
      <c r="O239" s="51">
        <f>MONTH(Table1[[#This Row],[Date]])</f>
        <v>3</v>
      </c>
      <c r="P239" s="51">
        <f>YEAR(Table1[[#This Row],[Date]])</f>
        <v>2025</v>
      </c>
      <c r="R239" s="51"/>
      <c r="S239" s="52"/>
      <c r="T239" s="52"/>
      <c r="U239" s="51"/>
      <c r="V239" s="51"/>
      <c r="W239" s="51"/>
      <c r="X239"/>
      <c r="AD239" s="46"/>
      <c r="AE239"/>
      <c r="AF239" s="10"/>
      <c r="AG239" s="10"/>
    </row>
    <row r="240" customHeight="1" spans="1:33">
      <c r="A240" s="51" t="s">
        <v>394</v>
      </c>
      <c r="B240" s="52">
        <v>45740</v>
      </c>
      <c r="C240" s="51" t="s">
        <v>395</v>
      </c>
      <c r="D240" s="51" t="s">
        <v>396</v>
      </c>
      <c r="E240" s="51" t="s">
        <v>64</v>
      </c>
      <c r="F240" s="51" t="s">
        <v>18</v>
      </c>
      <c r="G240" s="51" t="s">
        <v>12</v>
      </c>
      <c r="H240" s="51">
        <v>4</v>
      </c>
      <c r="I240" s="51">
        <v>149.99</v>
      </c>
      <c r="J240" s="51" t="s">
        <v>56</v>
      </c>
      <c r="K240" s="51" t="s">
        <v>15</v>
      </c>
      <c r="L240" s="51" t="s">
        <v>57</v>
      </c>
      <c r="M240" s="53">
        <v>44560</v>
      </c>
      <c r="N240" s="51">
        <v>599.96</v>
      </c>
      <c r="O240" s="51">
        <f>MONTH(Table1[[#This Row],[Date]])</f>
        <v>3</v>
      </c>
      <c r="P240" s="51">
        <f>YEAR(Table1[[#This Row],[Date]])</f>
        <v>2025</v>
      </c>
      <c r="R240" s="51"/>
      <c r="S240" s="52"/>
      <c r="T240" s="52"/>
      <c r="U240" s="51"/>
      <c r="V240" s="51"/>
      <c r="W240" s="51"/>
      <c r="X240"/>
      <c r="AD240" s="46"/>
      <c r="AE240"/>
      <c r="AF240" s="10"/>
      <c r="AG240" s="10"/>
    </row>
    <row r="241" customHeight="1" spans="1:33">
      <c r="A241" s="51" t="s">
        <v>397</v>
      </c>
      <c r="B241" s="52">
        <v>45743</v>
      </c>
      <c r="C241" s="51" t="s">
        <v>115</v>
      </c>
      <c r="D241" s="51" t="s">
        <v>116</v>
      </c>
      <c r="E241" s="51" t="s">
        <v>126</v>
      </c>
      <c r="F241" s="51" t="s">
        <v>19</v>
      </c>
      <c r="G241" s="51" t="s">
        <v>8</v>
      </c>
      <c r="H241" s="51">
        <v>4</v>
      </c>
      <c r="I241" s="51">
        <v>79.99</v>
      </c>
      <c r="J241" s="51" t="s">
        <v>50</v>
      </c>
      <c r="K241" s="51" t="s">
        <v>7</v>
      </c>
      <c r="L241" s="51" t="s">
        <v>46</v>
      </c>
      <c r="M241" s="53">
        <v>45288</v>
      </c>
      <c r="N241" s="51">
        <v>319.96</v>
      </c>
      <c r="O241" s="51">
        <f>MONTH(Table1[[#This Row],[Date]])</f>
        <v>3</v>
      </c>
      <c r="P241" s="51">
        <f>YEAR(Table1[[#This Row],[Date]])</f>
        <v>2025</v>
      </c>
      <c r="R241" s="51"/>
      <c r="S241" s="52"/>
      <c r="T241" s="52"/>
      <c r="U241" s="51"/>
      <c r="V241" s="51"/>
      <c r="W241" s="51"/>
      <c r="X241"/>
      <c r="AD241" s="46"/>
      <c r="AE241"/>
      <c r="AF241" s="10"/>
      <c r="AG241" s="10"/>
    </row>
    <row r="242" customHeight="1" spans="1:33">
      <c r="A242" s="51" t="s">
        <v>398</v>
      </c>
      <c r="B242" s="52">
        <v>45745</v>
      </c>
      <c r="C242" s="51" t="s">
        <v>194</v>
      </c>
      <c r="D242" s="51" t="s">
        <v>195</v>
      </c>
      <c r="E242" s="51" t="s">
        <v>128</v>
      </c>
      <c r="F242" s="51" t="s">
        <v>22</v>
      </c>
      <c r="G242" s="51" t="s">
        <v>10</v>
      </c>
      <c r="H242" s="51">
        <v>5</v>
      </c>
      <c r="I242" s="51">
        <v>89.99</v>
      </c>
      <c r="J242" s="51" t="s">
        <v>56</v>
      </c>
      <c r="K242" s="51" t="s">
        <v>13</v>
      </c>
      <c r="L242" s="51" t="s">
        <v>46</v>
      </c>
      <c r="M242" s="53">
        <v>44704</v>
      </c>
      <c r="N242" s="51">
        <v>449.95</v>
      </c>
      <c r="O242" s="51">
        <f>MONTH(Table1[[#This Row],[Date]])</f>
        <v>3</v>
      </c>
      <c r="P242" s="51">
        <f>YEAR(Table1[[#This Row],[Date]])</f>
        <v>2025</v>
      </c>
      <c r="R242" s="51"/>
      <c r="S242" s="52"/>
      <c r="T242" s="52"/>
      <c r="U242" s="51"/>
      <c r="V242" s="51"/>
      <c r="W242" s="51"/>
      <c r="X242"/>
      <c r="AD242" s="46"/>
      <c r="AE242"/>
      <c r="AF242" s="10"/>
      <c r="AG242" s="10"/>
    </row>
    <row r="243" customHeight="1" spans="1:33">
      <c r="A243" s="51" t="s">
        <v>399</v>
      </c>
      <c r="B243" s="52">
        <v>45746</v>
      </c>
      <c r="C243" s="51" t="s">
        <v>106</v>
      </c>
      <c r="D243" s="51" t="s">
        <v>107</v>
      </c>
      <c r="E243" s="51" t="s">
        <v>64</v>
      </c>
      <c r="F243" s="51" t="s">
        <v>18</v>
      </c>
      <c r="G243" s="51" t="s">
        <v>12</v>
      </c>
      <c r="H243" s="51">
        <v>3</v>
      </c>
      <c r="I243" s="51">
        <v>149.99</v>
      </c>
      <c r="J243" s="51" t="s">
        <v>56</v>
      </c>
      <c r="K243" s="51" t="s">
        <v>7</v>
      </c>
      <c r="L243" s="51" t="s">
        <v>57</v>
      </c>
      <c r="M243" s="53">
        <v>45171</v>
      </c>
      <c r="N243" s="51">
        <v>449.97</v>
      </c>
      <c r="O243" s="51">
        <f>MONTH(Table1[[#This Row],[Date]])</f>
        <v>3</v>
      </c>
      <c r="P243" s="51">
        <f>YEAR(Table1[[#This Row],[Date]])</f>
        <v>2025</v>
      </c>
      <c r="R243" s="51"/>
      <c r="S243" s="52"/>
      <c r="T243" s="52"/>
      <c r="U243" s="51"/>
      <c r="V243" s="51"/>
      <c r="W243" s="51"/>
      <c r="X243"/>
      <c r="AD243" s="46"/>
      <c r="AE243"/>
      <c r="AF243" s="10"/>
      <c r="AG243" s="10"/>
    </row>
    <row r="244" customHeight="1" spans="1:33">
      <c r="A244" s="51" t="s">
        <v>400</v>
      </c>
      <c r="B244" s="52">
        <v>45746</v>
      </c>
      <c r="C244" s="51" t="s">
        <v>79</v>
      </c>
      <c r="D244" s="51" t="s">
        <v>80</v>
      </c>
      <c r="E244" s="51" t="s">
        <v>128</v>
      </c>
      <c r="F244" s="51" t="s">
        <v>22</v>
      </c>
      <c r="G244" s="51" t="s">
        <v>10</v>
      </c>
      <c r="H244" s="51">
        <v>2</v>
      </c>
      <c r="I244" s="51">
        <v>89.99</v>
      </c>
      <c r="J244" s="51" t="s">
        <v>73</v>
      </c>
      <c r="K244" s="51" t="s">
        <v>15</v>
      </c>
      <c r="L244" s="51" t="s">
        <v>51</v>
      </c>
      <c r="M244" s="53">
        <v>44522</v>
      </c>
      <c r="N244" s="51">
        <v>179.98</v>
      </c>
      <c r="O244" s="51">
        <f>MONTH(Table1[[#This Row],[Date]])</f>
        <v>3</v>
      </c>
      <c r="P244" s="51">
        <f>YEAR(Table1[[#This Row],[Date]])</f>
        <v>2025</v>
      </c>
      <c r="R244" s="51"/>
      <c r="S244" s="52"/>
      <c r="T244" s="52"/>
      <c r="U244" s="51"/>
      <c r="V244" s="51"/>
      <c r="W244" s="51"/>
      <c r="X244"/>
      <c r="AD244" s="46"/>
      <c r="AE244"/>
      <c r="AF244" s="10"/>
      <c r="AG244" s="10"/>
    </row>
    <row r="245" customHeight="1" spans="1:33">
      <c r="A245" s="51" t="s">
        <v>401</v>
      </c>
      <c r="B245" s="52">
        <v>45748</v>
      </c>
      <c r="C245" s="51" t="s">
        <v>115</v>
      </c>
      <c r="D245" s="51" t="s">
        <v>116</v>
      </c>
      <c r="E245" s="51" t="s">
        <v>94</v>
      </c>
      <c r="F245" s="51" t="s">
        <v>26</v>
      </c>
      <c r="G245" s="51" t="s">
        <v>10</v>
      </c>
      <c r="H245" s="51">
        <v>2</v>
      </c>
      <c r="I245" s="51">
        <v>699.99</v>
      </c>
      <c r="J245" s="51" t="s">
        <v>56</v>
      </c>
      <c r="K245" s="51" t="s">
        <v>11</v>
      </c>
      <c r="L245" s="51" t="s">
        <v>57</v>
      </c>
      <c r="M245" s="53">
        <v>44618</v>
      </c>
      <c r="N245" s="51">
        <v>1399.98</v>
      </c>
      <c r="O245" s="51">
        <f>MONTH(Table1[[#This Row],[Date]])</f>
        <v>4</v>
      </c>
      <c r="P245" s="51">
        <f>YEAR(Table1[[#This Row],[Date]])</f>
        <v>2025</v>
      </c>
      <c r="R245" s="51"/>
      <c r="S245" s="52"/>
      <c r="T245" s="52"/>
      <c r="U245" s="51"/>
      <c r="V245" s="51"/>
      <c r="W245" s="51"/>
      <c r="X245"/>
      <c r="AD245" s="46"/>
      <c r="AE245"/>
      <c r="AF245" s="10"/>
      <c r="AG245" s="10"/>
    </row>
    <row r="246" customHeight="1" spans="1:33">
      <c r="A246" s="51" t="s">
        <v>402</v>
      </c>
      <c r="B246" s="52">
        <v>45749</v>
      </c>
      <c r="C246" s="51" t="s">
        <v>133</v>
      </c>
      <c r="D246" s="51" t="s">
        <v>134</v>
      </c>
      <c r="E246" s="51" t="s">
        <v>77</v>
      </c>
      <c r="F246" s="51" t="s">
        <v>23</v>
      </c>
      <c r="G246" s="51" t="s">
        <v>10</v>
      </c>
      <c r="H246" s="51">
        <v>3</v>
      </c>
      <c r="I246" s="51">
        <v>899.99</v>
      </c>
      <c r="J246" s="51" t="s">
        <v>45</v>
      </c>
      <c r="K246" s="51" t="s">
        <v>7</v>
      </c>
      <c r="L246" s="51" t="s">
        <v>57</v>
      </c>
      <c r="M246" s="53">
        <v>44953</v>
      </c>
      <c r="N246" s="51">
        <v>2699.97</v>
      </c>
      <c r="O246" s="51">
        <f>MONTH(Table1[[#This Row],[Date]])</f>
        <v>4</v>
      </c>
      <c r="P246" s="51">
        <f>YEAR(Table1[[#This Row],[Date]])</f>
        <v>2025</v>
      </c>
      <c r="R246" s="51"/>
      <c r="S246" s="52"/>
      <c r="T246" s="52"/>
      <c r="U246" s="51"/>
      <c r="V246" s="51"/>
      <c r="W246" s="51"/>
      <c r="X246"/>
      <c r="AD246" s="46"/>
      <c r="AE246"/>
      <c r="AF246" s="10"/>
      <c r="AG246" s="10"/>
    </row>
    <row r="247" customHeight="1" spans="1:33">
      <c r="A247" s="51" t="s">
        <v>403</v>
      </c>
      <c r="B247" s="52">
        <v>45755</v>
      </c>
      <c r="C247" s="51" t="s">
        <v>106</v>
      </c>
      <c r="D247" s="51" t="s">
        <v>107</v>
      </c>
      <c r="E247" s="51" t="s">
        <v>126</v>
      </c>
      <c r="F247" s="51" t="s">
        <v>19</v>
      </c>
      <c r="G247" s="51" t="s">
        <v>8</v>
      </c>
      <c r="H247" s="51">
        <v>3</v>
      </c>
      <c r="I247" s="51">
        <v>79.99</v>
      </c>
      <c r="J247" s="51" t="s">
        <v>50</v>
      </c>
      <c r="K247" s="51" t="s">
        <v>11</v>
      </c>
      <c r="L247" s="51" t="s">
        <v>46</v>
      </c>
      <c r="M247" s="53">
        <v>44511</v>
      </c>
      <c r="N247" s="51">
        <v>239.97</v>
      </c>
      <c r="O247" s="51">
        <f>MONTH(Table1[[#This Row],[Date]])</f>
        <v>4</v>
      </c>
      <c r="P247" s="51">
        <f>YEAR(Table1[[#This Row],[Date]])</f>
        <v>2025</v>
      </c>
      <c r="R247" s="51"/>
      <c r="S247" s="52"/>
      <c r="T247" s="52"/>
      <c r="U247" s="51"/>
      <c r="V247" s="51"/>
      <c r="W247" s="51"/>
      <c r="X247"/>
      <c r="AD247" s="46"/>
      <c r="AE247"/>
      <c r="AF247" s="10"/>
      <c r="AG247" s="10"/>
    </row>
    <row r="248" customHeight="1" spans="1:33">
      <c r="A248" s="51" t="s">
        <v>404</v>
      </c>
      <c r="B248" s="52">
        <v>45756</v>
      </c>
      <c r="C248" s="51" t="s">
        <v>75</v>
      </c>
      <c r="D248" s="51" t="s">
        <v>76</v>
      </c>
      <c r="E248" s="51" t="s">
        <v>128</v>
      </c>
      <c r="F248" s="51" t="s">
        <v>22</v>
      </c>
      <c r="G248" s="51" t="s">
        <v>10</v>
      </c>
      <c r="H248" s="51">
        <v>1</v>
      </c>
      <c r="I248" s="51">
        <v>89.99</v>
      </c>
      <c r="J248" s="51" t="s">
        <v>73</v>
      </c>
      <c r="K248" s="51" t="s">
        <v>9</v>
      </c>
      <c r="L248" s="51" t="s">
        <v>46</v>
      </c>
      <c r="M248" s="53">
        <v>45346</v>
      </c>
      <c r="N248" s="51">
        <v>89.99</v>
      </c>
      <c r="O248" s="51">
        <f>MONTH(Table1[[#This Row],[Date]])</f>
        <v>4</v>
      </c>
      <c r="P248" s="51">
        <f>YEAR(Table1[[#This Row],[Date]])</f>
        <v>2025</v>
      </c>
      <c r="R248" s="51"/>
      <c r="S248" s="52"/>
      <c r="T248" s="52"/>
      <c r="U248" s="51"/>
      <c r="V248" s="51"/>
      <c r="W248" s="51"/>
      <c r="X248"/>
      <c r="AD248" s="46"/>
      <c r="AE248"/>
      <c r="AF248" s="10"/>
      <c r="AG248" s="10"/>
    </row>
    <row r="249" customHeight="1" spans="1:33">
      <c r="A249" s="51" t="s">
        <v>405</v>
      </c>
      <c r="B249" s="52">
        <v>45758</v>
      </c>
      <c r="C249" s="51" t="s">
        <v>302</v>
      </c>
      <c r="D249" s="51" t="s">
        <v>303</v>
      </c>
      <c r="E249" s="51" t="s">
        <v>94</v>
      </c>
      <c r="F249" s="51" t="s">
        <v>26</v>
      </c>
      <c r="G249" s="51" t="s">
        <v>10</v>
      </c>
      <c r="H249" s="51">
        <v>3</v>
      </c>
      <c r="I249" s="51">
        <v>699.99</v>
      </c>
      <c r="J249" s="51" t="s">
        <v>56</v>
      </c>
      <c r="K249" s="51" t="s">
        <v>11</v>
      </c>
      <c r="L249" s="51" t="s">
        <v>46</v>
      </c>
      <c r="M249" s="53">
        <v>44909</v>
      </c>
      <c r="N249" s="51">
        <v>2099.97</v>
      </c>
      <c r="O249" s="51">
        <f>MONTH(Table1[[#This Row],[Date]])</f>
        <v>4</v>
      </c>
      <c r="P249" s="51">
        <f>YEAR(Table1[[#This Row],[Date]])</f>
        <v>2025</v>
      </c>
      <c r="R249" s="51"/>
      <c r="S249" s="52"/>
      <c r="T249" s="52"/>
      <c r="U249" s="51"/>
      <c r="V249" s="51"/>
      <c r="W249" s="51"/>
      <c r="X249"/>
      <c r="AD249" s="46"/>
      <c r="AE249"/>
      <c r="AF249" s="10"/>
      <c r="AG249" s="10"/>
    </row>
    <row r="250" customHeight="1" spans="1:33">
      <c r="A250" s="51" t="s">
        <v>406</v>
      </c>
      <c r="B250" s="52">
        <v>45758</v>
      </c>
      <c r="C250" s="51" t="s">
        <v>235</v>
      </c>
      <c r="D250" s="51" t="s">
        <v>236</v>
      </c>
      <c r="E250" s="51" t="s">
        <v>128</v>
      </c>
      <c r="F250" s="51" t="s">
        <v>22</v>
      </c>
      <c r="G250" s="51" t="s">
        <v>10</v>
      </c>
      <c r="H250" s="51">
        <v>2</v>
      </c>
      <c r="I250" s="51">
        <v>89.99</v>
      </c>
      <c r="J250" s="51" t="s">
        <v>73</v>
      </c>
      <c r="K250" s="51" t="s">
        <v>9</v>
      </c>
      <c r="L250" s="51" t="s">
        <v>46</v>
      </c>
      <c r="M250" s="53">
        <v>45088</v>
      </c>
      <c r="N250" s="51">
        <v>179.98</v>
      </c>
      <c r="O250" s="51">
        <f>MONTH(Table1[[#This Row],[Date]])</f>
        <v>4</v>
      </c>
      <c r="P250" s="51">
        <f>YEAR(Table1[[#This Row],[Date]])</f>
        <v>2025</v>
      </c>
      <c r="R250" s="51"/>
      <c r="S250" s="52"/>
      <c r="T250" s="52"/>
      <c r="U250" s="51"/>
      <c r="V250" s="51"/>
      <c r="W250" s="51"/>
      <c r="X250"/>
      <c r="AD250" s="46"/>
      <c r="AE250"/>
      <c r="AF250" s="10"/>
      <c r="AG250" s="10"/>
    </row>
    <row r="251" customHeight="1" spans="1:33">
      <c r="A251" s="51" t="s">
        <v>407</v>
      </c>
      <c r="B251" s="52">
        <v>45758</v>
      </c>
      <c r="C251" s="51" t="s">
        <v>147</v>
      </c>
      <c r="D251" s="51" t="s">
        <v>148</v>
      </c>
      <c r="E251" s="51" t="s">
        <v>128</v>
      </c>
      <c r="F251" s="51" t="s">
        <v>22</v>
      </c>
      <c r="G251" s="51" t="s">
        <v>10</v>
      </c>
      <c r="H251" s="51">
        <v>3</v>
      </c>
      <c r="I251" s="51">
        <v>89.99</v>
      </c>
      <c r="J251" s="51" t="s">
        <v>73</v>
      </c>
      <c r="K251" s="51" t="s">
        <v>11</v>
      </c>
      <c r="L251" s="51" t="s">
        <v>51</v>
      </c>
      <c r="M251" s="53">
        <v>44878</v>
      </c>
      <c r="N251" s="51">
        <v>269.97</v>
      </c>
      <c r="O251" s="51">
        <f>MONTH(Table1[[#This Row],[Date]])</f>
        <v>4</v>
      </c>
      <c r="P251" s="51">
        <f>YEAR(Table1[[#This Row],[Date]])</f>
        <v>2025</v>
      </c>
      <c r="R251" s="51"/>
      <c r="S251" s="52"/>
      <c r="T251" s="52"/>
      <c r="U251" s="51"/>
      <c r="V251" s="51"/>
      <c r="W251" s="51"/>
      <c r="X251"/>
      <c r="AD251" s="46"/>
      <c r="AE251"/>
      <c r="AF251" s="10"/>
      <c r="AG251" s="10"/>
    </row>
    <row r="252" customHeight="1" spans="24:33">
      <c r="X252" s="51"/>
      <c r="AF252" s="10"/>
      <c r="AG252" s="10"/>
    </row>
    <row r="253" customHeight="1" spans="32:33">
      <c r="AF253" s="10"/>
      <c r="AG253" s="10"/>
    </row>
  </sheetData>
  <mergeCells count="1">
    <mergeCell ref="R1:AG2"/>
  </mergeCells>
  <pageMargins left="0.75" right="0.75" top="1" bottom="1" header="0" footer="0"/>
  <pageSetup paperSize="1" orientation="landscape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topLeftCell="E1" workbookViewId="0">
      <selection activeCell="H6" sqref="H6:I6"/>
    </sheetView>
  </sheetViews>
  <sheetFormatPr defaultColWidth="17" defaultRowHeight="24.75" customHeight="1"/>
  <cols>
    <col min="5" max="5" width="23.7142857142857" customWidth="1"/>
  </cols>
  <sheetData>
    <row r="1" customHeight="1" spans="1:15">
      <c r="A1" s="12" t="s">
        <v>408</v>
      </c>
      <c r="B1" s="12" t="s">
        <v>409</v>
      </c>
      <c r="C1" s="13" t="s">
        <v>410</v>
      </c>
      <c r="D1" s="14" t="s">
        <v>3</v>
      </c>
      <c r="E1" s="14" t="s">
        <v>411</v>
      </c>
      <c r="F1" s="15"/>
      <c r="G1" s="16" t="s">
        <v>412</v>
      </c>
      <c r="H1" s="16" t="s">
        <v>413</v>
      </c>
      <c r="I1" s="33"/>
      <c r="J1" s="34" t="s">
        <v>5</v>
      </c>
      <c r="K1" s="34" t="s">
        <v>414</v>
      </c>
      <c r="L1" s="35"/>
      <c r="M1" s="36" t="s">
        <v>415</v>
      </c>
      <c r="N1" s="36" t="s">
        <v>416</v>
      </c>
      <c r="O1" s="36"/>
    </row>
    <row r="2" customHeight="1" spans="1:15">
      <c r="A2" s="17" t="str" cm="1">
        <f t="array" ref="A2:A51">_xlfn.UNIQUE('Final Project Dataset'!C2:C251)</f>
        <v>CUST023</v>
      </c>
      <c r="B2" s="17" t="str" cm="1">
        <f t="array" ref="B2:B51">_xlfn.UNIQUE('Final Project Dataset'!D2:D251)</f>
        <v>Paul Baker</v>
      </c>
      <c r="C2" s="18">
        <f>SUMIF('Final Project Dataset'!C2:C251,A2,'Final Project Dataset'!N2:N251)</f>
        <v>8309.74</v>
      </c>
      <c r="D2" s="19" t="str" cm="1">
        <f t="array" ref="D2:D6">_xlfn.UNIQUE('Final Project Dataset'!K2:K251)</f>
        <v>Central</v>
      </c>
      <c r="E2" s="19">
        <f>SUMIF('Final Project Dataset'!K2:K251,D2,'Final Project Dataset'!N2:N251)</f>
        <v>41288.34</v>
      </c>
      <c r="F2" s="20"/>
      <c r="G2" s="21" t="str" cm="1">
        <f t="array" ref="G2:G11">_xlfn.UNIQUE('Final Project Dataset'!F2:F251)</f>
        <v>Monitor</v>
      </c>
      <c r="H2" s="21">
        <f>SUMIF('Final Project Dataset'!F2:F251,G2,'Final Project Dataset'!N2:N251)</f>
        <v>21999.12</v>
      </c>
      <c r="I2" s="37"/>
      <c r="J2" s="38" t="str" cm="1">
        <f t="array" ref="J2:J4">_xlfn.UNIQUE('Final Project Dataset'!G2:G251)</f>
        <v>Electronics</v>
      </c>
      <c r="K2" s="38">
        <f>SUMIF('Final Project Dataset'!G2:G251,J2,'Final Project Dataset'!N2:N251)</f>
        <v>171756.05</v>
      </c>
      <c r="L2" s="39"/>
      <c r="M2" s="38" t="str" cm="1">
        <f t="array" ref="M2:M5">_xlfn.UNIQUE('Final Project Dataset'!J2:J251)</f>
        <v>Cash</v>
      </c>
      <c r="N2" s="38">
        <f>SUMIF('Final Project Dataset'!J2:J251,M2,'Final Project Dataset'!N2:N251)</f>
        <v>57427.79</v>
      </c>
      <c r="O2" s="38"/>
    </row>
    <row r="3" customHeight="1" spans="1:15">
      <c r="A3" s="17" t="str">
        <v>CUST013</v>
      </c>
      <c r="B3" s="17" t="str">
        <v>Joseph Jackson</v>
      </c>
      <c r="C3" s="18">
        <f>SUMIF('Final Project Dataset'!C3:C252,A3,'Final Project Dataset'!N3:N252)</f>
        <v>6949.84</v>
      </c>
      <c r="D3" s="19" t="str">
        <v>South</v>
      </c>
      <c r="E3" s="19">
        <f>SUMIF('Final Project Dataset'!K3:K252,D3,'Final Project Dataset'!N3:N252)</f>
        <v>36398.75</v>
      </c>
      <c r="F3" s="20"/>
      <c r="G3" s="21" t="str">
        <v>Blender</v>
      </c>
      <c r="H3" s="21">
        <f>SUMIF('Final Project Dataset'!F3:F252,G3,'Final Project Dataset'!N3:N252)</f>
        <v>5219.13</v>
      </c>
      <c r="I3" s="37"/>
      <c r="J3" s="38" t="str">
        <v>Appliances</v>
      </c>
      <c r="K3" s="38">
        <f>SUMIF('Final Project Dataset'!G3:G252,J3,'Final Project Dataset'!N3:N252)</f>
        <v>8338.74</v>
      </c>
      <c r="L3" s="39"/>
      <c r="M3" s="38" t="str">
        <v>Credit Card</v>
      </c>
      <c r="N3" s="38">
        <f>SUMIF('Final Project Dataset'!J3:J252,M3,'Final Project Dataset'!N3:N252)</f>
        <v>61447.96</v>
      </c>
      <c r="O3" s="38"/>
    </row>
    <row r="4" customHeight="1" spans="1:15">
      <c r="A4" s="17" t="str">
        <v>CUST021</v>
      </c>
      <c r="B4" s="17" t="str">
        <v>Kevin Scott</v>
      </c>
      <c r="C4" s="18">
        <f>SUMIF('Final Project Dataset'!C4:C253,A4,'Final Project Dataset'!N4:N253)</f>
        <v>3259.87</v>
      </c>
      <c r="D4" s="17" t="str">
        <v>North</v>
      </c>
      <c r="E4" s="17">
        <f>SUMIF('Final Project Dataset'!K4:K253,D4,'Final Project Dataset'!N4:N253)</f>
        <v>50808.31</v>
      </c>
      <c r="F4" s="18"/>
      <c r="G4" s="21" t="str">
        <v>Bookshelf</v>
      </c>
      <c r="H4" s="21">
        <f>SUMIF('Final Project Dataset'!F4:F253,G4,'Final Project Dataset'!N4:N253)</f>
        <v>15298.98</v>
      </c>
      <c r="I4" s="37"/>
      <c r="J4" s="38" t="str">
        <v>Furniture</v>
      </c>
      <c r="K4" s="38">
        <f>SUMIF('Final Project Dataset'!G4:G253,J4,'Final Project Dataset'!N4:N253)</f>
        <v>49097.68</v>
      </c>
      <c r="L4" s="39"/>
      <c r="M4" s="38" t="str">
        <v>PayPal</v>
      </c>
      <c r="N4" s="38">
        <f>SUMIF('Final Project Dataset'!J4:J253,M4,'Final Project Dataset'!N4:N253)</f>
        <v>58198.41</v>
      </c>
      <c r="O4" s="38"/>
    </row>
    <row r="5" customHeight="1" spans="1:15">
      <c r="A5" s="17" t="str">
        <v>CUST046</v>
      </c>
      <c r="B5" s="17" t="str">
        <v>Kathleen Bennett</v>
      </c>
      <c r="C5" s="18">
        <f>SUMIF('Final Project Dataset'!C5:C254,A5,'Final Project Dataset'!N5:N254)</f>
        <v>4309.81</v>
      </c>
      <c r="D5" s="19" t="str">
        <v>West</v>
      </c>
      <c r="E5" s="19">
        <f>SUMIF('Final Project Dataset'!K5:K254,D5,'Final Project Dataset'!N5:N254)</f>
        <v>41408.68</v>
      </c>
      <c r="F5" s="20"/>
      <c r="G5" s="21" t="str">
        <v>Headphones</v>
      </c>
      <c r="H5" s="21">
        <f>SUMIF('Final Project Dataset'!F5:F254,G5,'Final Project Dataset'!N5:N254)</f>
        <v>7049.53</v>
      </c>
      <c r="I5" s="37"/>
      <c r="J5" s="40" t="s">
        <v>417</v>
      </c>
      <c r="K5" s="40">
        <f>SUM(K2:L4)</f>
        <v>229192.47</v>
      </c>
      <c r="L5" s="41"/>
      <c r="M5" s="38" t="str">
        <v>Debit Card</v>
      </c>
      <c r="N5" s="38">
        <f>SUMIF('Final Project Dataset'!J5:J254,M5,'Final Project Dataset'!N5:N254)</f>
        <v>52118.31</v>
      </c>
      <c r="O5" s="38"/>
    </row>
    <row r="6" customHeight="1" spans="1:15">
      <c r="A6" s="17" t="str">
        <v>CUST003</v>
      </c>
      <c r="B6" s="17" t="str">
        <v>Michael Brown</v>
      </c>
      <c r="C6" s="18">
        <f>SUMIF('Final Project Dataset'!C6:C255,A6,'Final Project Dataset'!N6:N255)</f>
        <v>6169.74</v>
      </c>
      <c r="D6" s="22" t="str">
        <v>East</v>
      </c>
      <c r="E6" s="23">
        <f>SUMIF('Final Project Dataset'!K6:K255,D6,'Final Project Dataset'!N6:N255)</f>
        <v>59288.39</v>
      </c>
      <c r="F6" s="24"/>
      <c r="G6" s="21" t="str">
        <v>Laptop</v>
      </c>
      <c r="H6" s="21">
        <f>SUMIF('Final Project Dataset'!F6:F255,G6,'Final Project Dataset'!N6:N255)</f>
        <v>67499.25</v>
      </c>
      <c r="I6" s="42"/>
      <c r="M6" s="34" t="s">
        <v>417</v>
      </c>
      <c r="N6" s="34">
        <f>SUM(N2:O5)</f>
        <v>229192.47</v>
      </c>
      <c r="O6" s="34"/>
    </row>
    <row r="7" customHeight="1" spans="1:9">
      <c r="A7" s="17" t="str">
        <v>CUST024</v>
      </c>
      <c r="B7" s="17" t="str">
        <v>Dorothy Nelson</v>
      </c>
      <c r="C7" s="18">
        <f>SUMIF('Final Project Dataset'!C7:C256,A7,'Final Project Dataset'!N7:N256)</f>
        <v>8269.79</v>
      </c>
      <c r="D7" s="25" t="s">
        <v>417</v>
      </c>
      <c r="E7" s="25">
        <f>SUM(E2:F6)</f>
        <v>229192.47</v>
      </c>
      <c r="F7" s="26"/>
      <c r="G7" s="21" t="str">
        <v>Smartphone</v>
      </c>
      <c r="H7" s="21">
        <f>SUMIF('Final Project Dataset'!F7:F256,G7,'Final Project Dataset'!N7:N256)</f>
        <v>67199.04</v>
      </c>
      <c r="I7" s="42"/>
    </row>
    <row r="8" customHeight="1" spans="1:9">
      <c r="A8" s="17" t="str">
        <v>CUST017</v>
      </c>
      <c r="B8" s="17" t="str">
        <v>Charles Allen</v>
      </c>
      <c r="C8" s="17">
        <f>SUMIF('Final Project Dataset'!C8:C257,A8,'Final Project Dataset'!N8:N257)</f>
        <v>5089.73</v>
      </c>
      <c r="D8" s="27"/>
      <c r="E8" s="27"/>
      <c r="F8" s="27"/>
      <c r="G8" s="21" t="str">
        <v>Desk</v>
      </c>
      <c r="H8" s="21">
        <f>SUMIF('Final Project Dataset'!F8:F257,G8,'Final Project Dataset'!N8:N257)</f>
        <v>23399.22</v>
      </c>
      <c r="I8" s="42"/>
    </row>
    <row r="9" customHeight="1" spans="1:9">
      <c r="A9" s="17" t="str">
        <v>CUST009</v>
      </c>
      <c r="B9" s="17" t="str">
        <v>Robert Thomas</v>
      </c>
      <c r="C9" s="17">
        <f>SUMIF('Final Project Dataset'!C9:C258,A9,'Final Project Dataset'!N9:N258)</f>
        <v>3509.9</v>
      </c>
      <c r="D9" s="27"/>
      <c r="E9" s="27"/>
      <c r="F9" s="27"/>
      <c r="G9" s="21" t="str">
        <v>Coffee Maker</v>
      </c>
      <c r="H9" s="21">
        <f>SUMIF('Final Project Dataset'!F9:F258,G9,'Final Project Dataset'!N9:N258)</f>
        <v>3119.61</v>
      </c>
      <c r="I9" s="42"/>
    </row>
    <row r="10" customHeight="1" spans="1:9">
      <c r="A10" s="17" t="str">
        <v>CUST026</v>
      </c>
      <c r="B10" s="17" t="str">
        <v>Karen Hill</v>
      </c>
      <c r="C10" s="17">
        <f>SUMIF('Final Project Dataset'!C10:C259,A10,'Final Project Dataset'!N10:N259)</f>
        <v>8009.77</v>
      </c>
      <c r="D10" s="27"/>
      <c r="E10" s="27"/>
      <c r="F10" s="27"/>
      <c r="G10" s="21" t="str">
        <v>Keyboard</v>
      </c>
      <c r="H10" s="21">
        <f>SUMIF('Final Project Dataset'!F10:F259,G10,'Final Project Dataset'!N10:N259)</f>
        <v>8009.11</v>
      </c>
      <c r="I10" s="42"/>
    </row>
    <row r="11" customHeight="1" spans="1:9">
      <c r="A11" s="17" t="str">
        <v>CUST022</v>
      </c>
      <c r="B11" s="17" t="str">
        <v>Susan Green</v>
      </c>
      <c r="C11" s="17">
        <f>SUMIF('Final Project Dataset'!C11:C260,A11,'Final Project Dataset'!N11:N260)</f>
        <v>1979.89</v>
      </c>
      <c r="D11" s="27"/>
      <c r="E11" s="27"/>
      <c r="F11" s="27"/>
      <c r="G11" s="28" t="str">
        <v>Office Chair</v>
      </c>
      <c r="H11" s="28">
        <f>SUMIF('Final Project Dataset'!F11:F260,G11,'Final Project Dataset'!N11:N260)</f>
        <v>10399.48</v>
      </c>
      <c r="I11" s="43"/>
    </row>
    <row r="12" customHeight="1" spans="1:9">
      <c r="A12" s="17" t="str">
        <v>CUST041</v>
      </c>
      <c r="B12" s="17" t="str">
        <v>Peter Richardson</v>
      </c>
      <c r="C12" s="17">
        <f>SUMIF('Final Project Dataset'!C12:C261,A12,'Final Project Dataset'!N12:N261)</f>
        <v>5949.85</v>
      </c>
      <c r="D12" s="27"/>
      <c r="E12" s="27"/>
      <c r="F12" s="27"/>
      <c r="G12" s="29" t="s">
        <v>417</v>
      </c>
      <c r="H12" s="30">
        <f>SUM(H2:I11)</f>
        <v>229192.47</v>
      </c>
      <c r="I12" s="44"/>
    </row>
    <row r="13" customHeight="1" spans="1:9">
      <c r="A13" s="17" t="str">
        <v>CUST043</v>
      </c>
      <c r="B13" s="17" t="str">
        <v>Dennis Gray</v>
      </c>
      <c r="C13" s="17">
        <f>SUMIF('Final Project Dataset'!C13:C262,A13,'Final Project Dataset'!N13:N262)</f>
        <v>479.92</v>
      </c>
      <c r="D13" s="27"/>
      <c r="E13" s="27"/>
      <c r="F13" s="27"/>
      <c r="G13" s="27"/>
      <c r="H13" s="31"/>
      <c r="I13" s="45"/>
    </row>
    <row r="14" customHeight="1" spans="1:8">
      <c r="A14" s="17" t="str">
        <v>CUST038</v>
      </c>
      <c r="B14" s="17" t="str">
        <v>Michelle Rogers</v>
      </c>
      <c r="C14" s="17">
        <f>SUMIF('Final Project Dataset'!C14:C263,A14,'Final Project Dataset'!N14:N263)</f>
        <v>4199.94</v>
      </c>
      <c r="D14" s="27"/>
      <c r="E14" s="27"/>
      <c r="F14" s="27"/>
      <c r="G14" s="27"/>
      <c r="H14" s="27"/>
    </row>
    <row r="15" customHeight="1" spans="1:8">
      <c r="A15" s="17" t="str">
        <v>CUST027</v>
      </c>
      <c r="B15" s="17" t="str">
        <v>George Adams</v>
      </c>
      <c r="C15" s="17">
        <f>SUMIF('Final Project Dataset'!C15:C264,A15,'Final Project Dataset'!N15:N264)</f>
        <v>3779.93</v>
      </c>
      <c r="D15" s="27"/>
      <c r="E15" s="27"/>
      <c r="F15" s="27"/>
      <c r="G15" s="27"/>
      <c r="H15" s="27"/>
    </row>
    <row r="16" customHeight="1" spans="1:8">
      <c r="A16" s="17" t="str">
        <v>CUST025</v>
      </c>
      <c r="B16" s="17" t="str">
        <v>Mark Carter</v>
      </c>
      <c r="C16" s="17">
        <f>SUMIF('Final Project Dataset'!C16:C265,A16,'Final Project Dataset'!N16:N265)</f>
        <v>15659.65</v>
      </c>
      <c r="D16" s="27"/>
      <c r="E16" s="27"/>
      <c r="F16" s="27"/>
      <c r="G16" s="27"/>
      <c r="H16" s="27"/>
    </row>
    <row r="17" customHeight="1" spans="1:8">
      <c r="A17" s="17" t="str">
        <v>CUST010</v>
      </c>
      <c r="B17" s="17" t="str">
        <v>Maria Garcia</v>
      </c>
      <c r="C17" s="17">
        <f>SUMIF('Final Project Dataset'!C17:C266,A17,'Final Project Dataset'!N17:N266)</f>
        <v>1909.93</v>
      </c>
      <c r="D17" s="27"/>
      <c r="E17" s="27"/>
      <c r="F17" s="27"/>
      <c r="G17" s="27"/>
      <c r="H17" s="27"/>
    </row>
    <row r="18" customHeight="1" spans="1:8">
      <c r="A18" s="17" t="str">
        <v>CUST048</v>
      </c>
      <c r="B18" s="17" t="str">
        <v>Virginia Sanders</v>
      </c>
      <c r="C18" s="17">
        <f>SUMIF('Final Project Dataset'!C18:C267,A18,'Final Project Dataset'!N18:N267)</f>
        <v>4789.79</v>
      </c>
      <c r="D18" s="27"/>
      <c r="E18" s="27"/>
      <c r="F18" s="27"/>
      <c r="G18" s="27"/>
      <c r="H18" s="27"/>
    </row>
    <row r="19" customHeight="1" spans="1:8">
      <c r="A19" s="17" t="str">
        <v>CUST018</v>
      </c>
      <c r="B19" s="17" t="str">
        <v>Barbara Young</v>
      </c>
      <c r="C19" s="17">
        <f>SUMIF('Final Project Dataset'!C19:C268,A19,'Final Project Dataset'!N19:N268)</f>
        <v>10649.8</v>
      </c>
      <c r="D19" s="27"/>
      <c r="E19" s="27"/>
      <c r="F19" s="27"/>
      <c r="G19" s="27"/>
      <c r="H19" s="27"/>
    </row>
    <row r="20" customHeight="1" spans="1:8">
      <c r="A20" s="17" t="str">
        <v>CUST012</v>
      </c>
      <c r="B20" s="17" t="str">
        <v>Patricia Moore</v>
      </c>
      <c r="C20" s="17">
        <f>SUMIF('Final Project Dataset'!C20:C269,A20,'Final Project Dataset'!N20:N269)</f>
        <v>9799.73</v>
      </c>
      <c r="D20" s="27"/>
      <c r="E20" s="27"/>
      <c r="F20" s="27"/>
      <c r="G20" s="27"/>
      <c r="H20" s="27"/>
    </row>
    <row r="21" customHeight="1" spans="1:8">
      <c r="A21" s="17" t="str">
        <v>CUST044</v>
      </c>
      <c r="B21" s="17" t="str">
        <v>Cynthia Price</v>
      </c>
      <c r="C21" s="17">
        <f>SUMIF('Final Project Dataset'!C21:C270,A21,'Final Project Dataset'!N21:N270)</f>
        <v>3769.83</v>
      </c>
      <c r="D21" s="27"/>
      <c r="E21" s="27"/>
      <c r="F21" s="27"/>
      <c r="G21" s="27"/>
      <c r="H21" s="27"/>
    </row>
    <row r="22" customHeight="1" spans="1:8">
      <c r="A22" s="17" t="str">
        <v>CUST036</v>
      </c>
      <c r="B22" s="17" t="str">
        <v>Nancy Collins</v>
      </c>
      <c r="C22" s="17">
        <f>SUMIF('Final Project Dataset'!C22:C271,A22,'Final Project Dataset'!N22:N271)</f>
        <v>4189.77</v>
      </c>
      <c r="D22" s="27"/>
      <c r="E22" s="27"/>
      <c r="F22" s="27"/>
      <c r="G22" s="27"/>
      <c r="H22" s="27"/>
    </row>
    <row r="23" customHeight="1" spans="1:8">
      <c r="A23" s="17" t="str">
        <v>CUST014</v>
      </c>
      <c r="B23" s="17" t="str">
        <v>Linda Martin</v>
      </c>
      <c r="C23" s="17">
        <f>SUMIF('Final Project Dataset'!C23:C272,A23,'Final Project Dataset'!N23:N272)</f>
        <v>1289.9</v>
      </c>
      <c r="D23" s="27"/>
      <c r="E23" s="27"/>
      <c r="F23" s="27"/>
      <c r="G23" s="27"/>
      <c r="H23" s="27"/>
    </row>
    <row r="24" customHeight="1" spans="1:8">
      <c r="A24" s="17" t="str">
        <v>CUST030</v>
      </c>
      <c r="B24" s="17" t="str">
        <v>Helen Roberts</v>
      </c>
      <c r="C24" s="17">
        <f>SUMIF('Final Project Dataset'!C24:C273,A24,'Final Project Dataset'!N24:N273)</f>
        <v>6459.79</v>
      </c>
      <c r="D24" s="27"/>
      <c r="E24" s="27"/>
      <c r="F24" s="27"/>
      <c r="G24" s="27"/>
      <c r="H24" s="27"/>
    </row>
    <row r="25" customHeight="1" spans="1:8">
      <c r="A25" s="17" t="str">
        <v>CUST029</v>
      </c>
      <c r="B25" s="17" t="str">
        <v>Edward Mitchell</v>
      </c>
      <c r="C25" s="17">
        <f>SUMIF('Final Project Dataset'!C25:C274,A25,'Final Project Dataset'!N25:N274)</f>
        <v>11919.77</v>
      </c>
      <c r="D25" s="27"/>
      <c r="E25" s="27"/>
      <c r="F25" s="27"/>
      <c r="G25" s="27"/>
      <c r="H25" s="27"/>
    </row>
    <row r="26" customHeight="1" spans="1:8">
      <c r="A26" s="17" t="str">
        <v>CUST006</v>
      </c>
      <c r="B26" s="17" t="str">
        <v>Lisa Anderson</v>
      </c>
      <c r="C26" s="17">
        <f>SUMIF('Final Project Dataset'!C26:C275,A26,'Final Project Dataset'!N26:N275)</f>
        <v>2039.8</v>
      </c>
      <c r="D26" s="27"/>
      <c r="E26" s="27"/>
      <c r="F26" s="27"/>
      <c r="G26" s="27"/>
      <c r="H26" s="27"/>
    </row>
    <row r="27" customHeight="1" spans="1:8">
      <c r="A27" s="17" t="str">
        <v>CUST002</v>
      </c>
      <c r="B27" s="17" t="str">
        <v>Emma Wilson</v>
      </c>
      <c r="C27" s="17">
        <f>SUMIF('Final Project Dataset'!C27:C276,A27,'Final Project Dataset'!N27:N276)</f>
        <v>1229.88</v>
      </c>
      <c r="D27" s="27"/>
      <c r="E27" s="27"/>
      <c r="F27" s="27"/>
      <c r="G27" s="27"/>
      <c r="H27" s="27"/>
    </row>
    <row r="28" customHeight="1" spans="1:8">
      <c r="A28" s="17" t="str">
        <v>CUST031</v>
      </c>
      <c r="B28" s="17" t="str">
        <v>Steven Turner</v>
      </c>
      <c r="C28" s="17">
        <f>SUMIF('Final Project Dataset'!C28:C277,A28,'Final Project Dataset'!N28:N277)</f>
        <v>2649.83</v>
      </c>
      <c r="D28" s="27"/>
      <c r="E28" s="27"/>
      <c r="F28" s="27"/>
      <c r="G28" s="27"/>
      <c r="H28" s="27"/>
    </row>
    <row r="29" customHeight="1" spans="1:8">
      <c r="A29" s="17" t="str">
        <v>CUST008</v>
      </c>
      <c r="B29" s="17" t="str">
        <v>Jennifer Taylor</v>
      </c>
      <c r="C29" s="17">
        <f>SUMIF('Final Project Dataset'!C29:C278,A29,'Final Project Dataset'!N29:N278)</f>
        <v>4739.85</v>
      </c>
      <c r="D29" s="27"/>
      <c r="E29" s="27"/>
      <c r="F29" s="27"/>
      <c r="G29" s="27"/>
      <c r="H29" s="27"/>
    </row>
    <row r="30" customHeight="1" spans="1:8">
      <c r="A30" s="17" t="str">
        <v>CUST035</v>
      </c>
      <c r="B30" s="17" t="str">
        <v>Harry Morgan</v>
      </c>
      <c r="C30" s="17">
        <f>SUMIF('Final Project Dataset'!C30:C279,A30,'Final Project Dataset'!N30:N279)</f>
        <v>5519.89</v>
      </c>
      <c r="D30" s="27"/>
      <c r="E30" s="27"/>
      <c r="F30" s="27"/>
      <c r="G30" s="27"/>
      <c r="H30" s="27"/>
    </row>
    <row r="31" customHeight="1" spans="1:8">
      <c r="A31" s="17" t="str">
        <v>CUST019</v>
      </c>
      <c r="B31" s="17" t="str">
        <v>Daniel King</v>
      </c>
      <c r="C31" s="17">
        <f>SUMIF('Final Project Dataset'!C31:C280,A31,'Final Project Dataset'!N31:N280)</f>
        <v>7309.8</v>
      </c>
      <c r="D31" s="27"/>
      <c r="E31" s="27"/>
      <c r="F31" s="27"/>
      <c r="G31" s="27"/>
      <c r="H31" s="27"/>
    </row>
    <row r="32" customHeight="1" spans="1:8">
      <c r="A32" s="17" t="str">
        <v>CUST040</v>
      </c>
      <c r="B32" s="17" t="str">
        <v>Sharon Butler</v>
      </c>
      <c r="C32" s="17">
        <f>SUMIF('Final Project Dataset'!C32:C281,A32,'Final Project Dataset'!N32:N281)</f>
        <v>5619.87</v>
      </c>
      <c r="D32" s="27"/>
      <c r="E32" s="27"/>
      <c r="F32" s="27"/>
      <c r="G32" s="27"/>
      <c r="H32" s="27"/>
    </row>
    <row r="33" customHeight="1" spans="1:8">
      <c r="A33" s="17" t="str">
        <v>CUST004</v>
      </c>
      <c r="B33" s="17" t="str">
        <v>Sarah Davis</v>
      </c>
      <c r="C33" s="17">
        <f>SUMIF('Final Project Dataset'!C33:C282,A33,'Final Project Dataset'!N33:N282)</f>
        <v>5499.81</v>
      </c>
      <c r="D33" s="27"/>
      <c r="E33" s="27"/>
      <c r="F33" s="27"/>
      <c r="G33" s="27"/>
      <c r="H33" s="27"/>
    </row>
    <row r="34" customHeight="1" spans="1:8">
      <c r="A34" s="17" t="str">
        <v>CUST028</v>
      </c>
      <c r="B34" s="17" t="str">
        <v>Betty Campbell</v>
      </c>
      <c r="C34" s="17">
        <f>SUMIF('Final Project Dataset'!C34:C283,A34,'Final Project Dataset'!N34:N283)</f>
        <v>5649.84</v>
      </c>
      <c r="D34" s="27"/>
      <c r="E34" s="27"/>
      <c r="F34" s="27"/>
      <c r="G34" s="27"/>
      <c r="H34" s="27"/>
    </row>
    <row r="35" customHeight="1" spans="1:8">
      <c r="A35" s="17" t="str">
        <v>CUST050</v>
      </c>
      <c r="B35" s="17" t="str">
        <v>Julie Foster</v>
      </c>
      <c r="C35" s="17">
        <f>SUMIF('Final Project Dataset'!C35:C284,A35,'Final Project Dataset'!N35:N284)</f>
        <v>239.96</v>
      </c>
      <c r="D35" s="27"/>
      <c r="E35" s="27"/>
      <c r="F35" s="27"/>
      <c r="G35" s="27"/>
      <c r="H35" s="27"/>
    </row>
    <row r="36" customHeight="1" spans="1:8">
      <c r="A36" s="17" t="str">
        <v>CUST049</v>
      </c>
      <c r="B36" s="17" t="str">
        <v>Raymond Ross</v>
      </c>
      <c r="C36" s="17">
        <f>SUMIF('Final Project Dataset'!C36:C285,A36,'Final Project Dataset'!N36:N285)</f>
        <v>3669.85</v>
      </c>
      <c r="D36" s="27"/>
      <c r="E36" s="27"/>
      <c r="F36" s="27"/>
      <c r="G36" s="27"/>
      <c r="H36" s="27"/>
    </row>
    <row r="37" customHeight="1" spans="1:8">
      <c r="A37" s="17" t="str">
        <v>CUST007</v>
      </c>
      <c r="B37" s="17" t="str">
        <v>David Martinez</v>
      </c>
      <c r="C37" s="17">
        <f>SUMIF('Final Project Dataset'!C37:C286,A37,'Final Project Dataset'!N37:N286)</f>
        <v>1809.84</v>
      </c>
      <c r="D37" s="27"/>
      <c r="E37" s="27"/>
      <c r="F37" s="27"/>
      <c r="G37" s="27"/>
      <c r="H37" s="27"/>
    </row>
    <row r="38" customHeight="1" spans="1:8">
      <c r="A38" s="17" t="str">
        <v>CUST020</v>
      </c>
      <c r="B38" s="17" t="str">
        <v>Margaret Wright</v>
      </c>
      <c r="C38" s="17">
        <f>SUMIF('Final Project Dataset'!C38:C287,A38,'Final Project Dataset'!N38:N287)</f>
        <v>2099.88</v>
      </c>
      <c r="D38" s="27"/>
      <c r="E38" s="27"/>
      <c r="F38" s="27"/>
      <c r="G38" s="27"/>
      <c r="H38" s="27"/>
    </row>
    <row r="39" customHeight="1" spans="1:8">
      <c r="A39" s="17" t="str">
        <v>CUST033</v>
      </c>
      <c r="B39" s="17" t="str">
        <v>Frank Torres</v>
      </c>
      <c r="C39" s="17">
        <f>SUMIF('Final Project Dataset'!C39:C288,A39,'Final Project Dataset'!N39:N288)</f>
        <v>1479.91</v>
      </c>
      <c r="D39" s="27"/>
      <c r="E39" s="27"/>
      <c r="F39" s="27"/>
      <c r="G39" s="27"/>
      <c r="H39" s="27"/>
    </row>
    <row r="40" customHeight="1" spans="1:8">
      <c r="A40" s="17" t="str">
        <v>CUST047</v>
      </c>
      <c r="B40" s="17" t="str">
        <v>Gerald Murphy</v>
      </c>
      <c r="C40" s="17">
        <f>SUMIF('Final Project Dataset'!C40:C289,A40,'Final Project Dataset'!N40:N289)</f>
        <v>6379.87</v>
      </c>
      <c r="D40" s="27"/>
      <c r="E40" s="27"/>
      <c r="F40" s="27"/>
      <c r="G40" s="27"/>
      <c r="H40" s="27"/>
    </row>
    <row r="41" customHeight="1" spans="1:8">
      <c r="A41" s="17" t="str">
        <v>CUST016</v>
      </c>
      <c r="B41" s="17" t="str">
        <v>Elizabeth Hall</v>
      </c>
      <c r="C41" s="17">
        <f>SUMIF('Final Project Dataset'!C41:C290,A41,'Final Project Dataset'!N41:N290)</f>
        <v>3649.86</v>
      </c>
      <c r="D41" s="27"/>
      <c r="E41" s="27"/>
      <c r="F41" s="27"/>
      <c r="G41" s="27"/>
      <c r="H41" s="27"/>
    </row>
    <row r="42" customHeight="1" spans="1:8">
      <c r="A42" s="17" t="str">
        <v>CUST039</v>
      </c>
      <c r="B42" s="17" t="str">
        <v>Lawrence Reed</v>
      </c>
      <c r="C42" s="17">
        <f>SUMIF('Final Project Dataset'!C42:C291,A42,'Final Project Dataset'!N42:N291)</f>
        <v>6989.77</v>
      </c>
      <c r="D42" s="27"/>
      <c r="E42" s="27"/>
      <c r="F42" s="27"/>
      <c r="G42" s="27"/>
      <c r="H42" s="27"/>
    </row>
    <row r="43" customHeight="1" spans="1:8">
      <c r="A43" s="17" t="str">
        <v>CUST034</v>
      </c>
      <c r="B43" s="17" t="str">
        <v>Carol Evans</v>
      </c>
      <c r="C43" s="17">
        <f>SUMIF('Final Project Dataset'!C43:C292,A43,'Final Project Dataset'!N43:N292)</f>
        <v>1149.93</v>
      </c>
      <c r="D43" s="27"/>
      <c r="E43" s="27"/>
      <c r="F43" s="27"/>
      <c r="G43" s="27"/>
      <c r="H43" s="27"/>
    </row>
    <row r="44" customHeight="1" spans="1:8">
      <c r="A44" s="17" t="str">
        <v>CUST032</v>
      </c>
      <c r="B44" s="17" t="str">
        <v>Sandra Phillips</v>
      </c>
      <c r="C44" s="17">
        <f>SUMIF('Final Project Dataset'!C44:C293,A44,'Final Project Dataset'!N44:N293)</f>
        <v>6349.83</v>
      </c>
      <c r="D44" s="27"/>
      <c r="E44" s="27"/>
      <c r="F44" s="27"/>
      <c r="G44" s="27"/>
      <c r="H44" s="27"/>
    </row>
    <row r="45" customHeight="1" spans="1:8">
      <c r="A45" s="17" t="str">
        <v>CUST042</v>
      </c>
      <c r="B45" s="17" t="str">
        <v>Ruth Brooks</v>
      </c>
      <c r="C45" s="17">
        <f>SUMIF('Final Project Dataset'!C45:C294,A45,'Final Project Dataset'!N45:N294)</f>
        <v>1749.92</v>
      </c>
      <c r="D45" s="27"/>
      <c r="E45" s="27"/>
      <c r="F45" s="27"/>
      <c r="G45" s="27"/>
      <c r="H45" s="27"/>
    </row>
    <row r="46" customHeight="1" spans="1:8">
      <c r="A46" s="17" t="str">
        <v>CUST011</v>
      </c>
      <c r="B46" s="17" t="str">
        <v>William White</v>
      </c>
      <c r="C46" s="17">
        <f>SUMIF('Final Project Dataset'!C46:C295,A46,'Final Project Dataset'!N46:N295)</f>
        <v>4749.91</v>
      </c>
      <c r="D46" s="27"/>
      <c r="E46" s="27"/>
      <c r="F46" s="27"/>
      <c r="G46" s="27"/>
      <c r="H46" s="27"/>
    </row>
    <row r="47" customHeight="1" spans="1:8">
      <c r="A47" s="17" t="str">
        <v>CUST015</v>
      </c>
      <c r="B47" s="17" t="str">
        <v>Richard Lee</v>
      </c>
      <c r="C47" s="17">
        <f>SUMIF('Final Project Dataset'!C47:C296,A47,'Final Project Dataset'!N47:N296)</f>
        <v>739.93</v>
      </c>
      <c r="D47" s="27"/>
      <c r="E47" s="27"/>
      <c r="F47" s="27"/>
      <c r="G47" s="27"/>
      <c r="H47" s="27"/>
    </row>
    <row r="48" customHeight="1" spans="1:8">
      <c r="A48" s="17" t="str">
        <v>CUST045</v>
      </c>
      <c r="B48" s="17" t="str">
        <v>Douglas Watson</v>
      </c>
      <c r="C48" s="17">
        <f>SUMIF('Final Project Dataset'!C48:C297,A48,'Final Project Dataset'!N48:N297)</f>
        <v>4829.89</v>
      </c>
      <c r="D48" s="27"/>
      <c r="E48" s="27"/>
      <c r="F48" s="27"/>
      <c r="G48" s="27"/>
      <c r="H48" s="27"/>
    </row>
    <row r="49" customHeight="1" spans="1:8">
      <c r="A49" s="17" t="str">
        <v>CUST005</v>
      </c>
      <c r="B49" s="17" t="str">
        <v>James Johnson</v>
      </c>
      <c r="C49" s="17">
        <f>SUMIF('Final Project Dataset'!C49:C298,A49,'Final Project Dataset'!N49:N298)</f>
        <v>179.97</v>
      </c>
      <c r="D49" s="27"/>
      <c r="E49" s="27"/>
      <c r="F49" s="27"/>
      <c r="G49" s="27"/>
      <c r="H49" s="27"/>
    </row>
    <row r="50" customHeight="1" spans="1:8">
      <c r="A50" s="17" t="str">
        <v>CUST037</v>
      </c>
      <c r="B50" s="17" t="str">
        <v>Arthur Edwards</v>
      </c>
      <c r="C50" s="17">
        <f>SUMIF('Final Project Dataset'!C50:C299,A50,'Final Project Dataset'!N50:N299)</f>
        <v>1559.94</v>
      </c>
      <c r="D50" s="27"/>
      <c r="E50" s="27"/>
      <c r="F50" s="27"/>
      <c r="G50" s="27"/>
      <c r="H50" s="27"/>
    </row>
    <row r="51" customHeight="1" spans="1:8">
      <c r="A51" s="23" t="str">
        <v>CUST001</v>
      </c>
      <c r="B51" s="23" t="str">
        <v>John Smith</v>
      </c>
      <c r="C51" s="23">
        <f>SUMIF('Final Project Dataset'!C51:C300,A51,'Final Project Dataset'!N51:N300)</f>
        <v>599.96</v>
      </c>
      <c r="D51" s="27"/>
      <c r="E51" s="27"/>
      <c r="F51" s="27"/>
      <c r="G51" s="27"/>
      <c r="H51" s="27"/>
    </row>
    <row r="52" customHeight="1" spans="1:8">
      <c r="A52" s="32" t="s">
        <v>417</v>
      </c>
      <c r="B52" s="32"/>
      <c r="C52" s="32">
        <f>SUM(C2:C51)</f>
        <v>229192.47</v>
      </c>
      <c r="D52" s="27"/>
      <c r="E52" s="27"/>
      <c r="F52" s="27"/>
      <c r="G52" s="27"/>
      <c r="H52" s="27"/>
    </row>
  </sheetData>
  <mergeCells count="32">
    <mergeCell ref="E1:F1"/>
    <mergeCell ref="H1:I1"/>
    <mergeCell ref="K1:L1"/>
    <mergeCell ref="N1:O1"/>
    <mergeCell ref="E2:F2"/>
    <mergeCell ref="H2:I2"/>
    <mergeCell ref="K2:L2"/>
    <mergeCell ref="N2:O2"/>
    <mergeCell ref="E3:F3"/>
    <mergeCell ref="H3:I3"/>
    <mergeCell ref="K3:L3"/>
    <mergeCell ref="N3:O3"/>
    <mergeCell ref="E4:F4"/>
    <mergeCell ref="H4:I4"/>
    <mergeCell ref="K4:L4"/>
    <mergeCell ref="N4:O4"/>
    <mergeCell ref="E5:F5"/>
    <mergeCell ref="H5:I5"/>
    <mergeCell ref="K5:L5"/>
    <mergeCell ref="N5:O5"/>
    <mergeCell ref="E6:F6"/>
    <mergeCell ref="H6:I6"/>
    <mergeCell ref="N6:O6"/>
    <mergeCell ref="E7:F7"/>
    <mergeCell ref="H7:I7"/>
    <mergeCell ref="H8:I8"/>
    <mergeCell ref="H9:I9"/>
    <mergeCell ref="H10:I10"/>
    <mergeCell ref="H11:I11"/>
    <mergeCell ref="H12:I12"/>
    <mergeCell ref="H13:I13"/>
    <mergeCell ref="A52:B52"/>
  </mergeCells>
  <conditionalFormatting sqref="A1:C51">
    <cfRule type="top10" dxfId="16" priority="3" rank="5"/>
  </conditionalFormatting>
  <conditionalFormatting sqref="D1:F6">
    <cfRule type="top10" dxfId="16" priority="2" rank="2"/>
  </conditionalFormatting>
  <conditionalFormatting sqref="G1:I11">
    <cfRule type="top10" dxfId="16" priority="1" rank="5"/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3"/>
  <sheetViews>
    <sheetView topLeftCell="A10" workbookViewId="0">
      <selection activeCell="E5" sqref="E5"/>
    </sheetView>
  </sheetViews>
  <sheetFormatPr defaultColWidth="13.5714285714286" defaultRowHeight="25.5" customHeight="1" outlineLevelCol="3"/>
  <cols>
    <col min="1" max="1" width="16.4285714285714" style="1" customWidth="1"/>
    <col min="2" max="2" width="21.1428571428571" customWidth="1"/>
    <col min="3" max="3" width="19.1428571428571" customWidth="1"/>
  </cols>
  <sheetData>
    <row r="1" customHeight="1" spans="1:3">
      <c r="A1" s="2" t="s">
        <v>418</v>
      </c>
      <c r="B1" s="3"/>
      <c r="C1" s="3"/>
    </row>
    <row r="2" customHeight="1" spans="1:3">
      <c r="A2" s="4"/>
      <c r="B2" s="4"/>
      <c r="C2" s="4"/>
    </row>
    <row r="3" customHeight="1" spans="1:3">
      <c r="A3" s="5" t="s">
        <v>419</v>
      </c>
      <c r="B3" s="6" t="s">
        <v>420</v>
      </c>
      <c r="C3" s="6" t="s">
        <v>421</v>
      </c>
    </row>
    <row r="4" customHeight="1" spans="1:4">
      <c r="A4" s="7">
        <v>0.03</v>
      </c>
      <c r="B4" s="8">
        <f>SUM(C4:C253)</f>
        <v>222316.6959</v>
      </c>
      <c r="C4" s="9">
        <f>'Final Project Dataset'!N2*(1-'WHAT-IF Analysis'!$A$4)</f>
        <v>727.4709</v>
      </c>
      <c r="D4" s="10"/>
    </row>
    <row r="5" customHeight="1" spans="1:3">
      <c r="A5" s="11"/>
      <c r="B5" s="10"/>
      <c r="C5" s="8">
        <f>'Final Project Dataset'!N3*(1-'WHAT-IF Analysis'!$A$4)</f>
        <v>727.4709</v>
      </c>
    </row>
    <row r="6" customHeight="1" spans="1:3">
      <c r="A6" s="11"/>
      <c r="B6" s="10"/>
      <c r="C6" s="8">
        <f>'Final Project Dataset'!N4*(1-'WHAT-IF Analysis'!$A$4)</f>
        <v>174.5709</v>
      </c>
    </row>
    <row r="7" customHeight="1" spans="3:3">
      <c r="C7" s="8">
        <f>'Final Project Dataset'!N5*(1-'WHAT-IF Analysis'!$A$4)</f>
        <v>174.5709</v>
      </c>
    </row>
    <row r="8" customHeight="1" spans="3:3">
      <c r="C8" s="8">
        <f>'Final Project Dataset'!N6*(1-'WHAT-IF Analysis'!$A$4)</f>
        <v>727.4515</v>
      </c>
    </row>
    <row r="9" customHeight="1" spans="3:3">
      <c r="C9" s="8">
        <f>'Final Project Dataset'!N7*(1-'WHAT-IF Analysis'!$A$4)</f>
        <v>116.3806</v>
      </c>
    </row>
    <row r="10" customHeight="1" spans="3:3">
      <c r="C10" s="8">
        <f>'Final Project Dataset'!N8*(1-'WHAT-IF Analysis'!$A$4)</f>
        <v>727.4515</v>
      </c>
    </row>
    <row r="11" customHeight="1" spans="3:3">
      <c r="C11" s="8">
        <f>'Final Project Dataset'!N9*(1-'WHAT-IF Analysis'!$A$4)</f>
        <v>174.5709</v>
      </c>
    </row>
    <row r="12" customHeight="1" spans="3:3">
      <c r="C12" s="8">
        <f>'Final Project Dataset'!N10*(1-'WHAT-IF Analysis'!$A$4)</f>
        <v>2618.9709</v>
      </c>
    </row>
    <row r="13" customHeight="1" spans="3:3">
      <c r="C13" s="8">
        <f>'Final Project Dataset'!N11*(1-'WHAT-IF Analysis'!$A$4)</f>
        <v>174.5709</v>
      </c>
    </row>
    <row r="14" customHeight="1" spans="3:3">
      <c r="C14" s="8">
        <f>'Final Project Dataset'!N12*(1-'WHAT-IF Analysis'!$A$4)</f>
        <v>145.4903</v>
      </c>
    </row>
    <row r="15" customHeight="1" spans="3:3">
      <c r="C15" s="8">
        <f>'Final Project Dataset'!N13*(1-'WHAT-IF Analysis'!$A$4)</f>
        <v>727.4515</v>
      </c>
    </row>
    <row r="16" customHeight="1" spans="3:3">
      <c r="C16" s="8">
        <f>'Final Project Dataset'!N14*(1-'WHAT-IF Analysis'!$A$4)</f>
        <v>436.4709</v>
      </c>
    </row>
    <row r="17" customHeight="1" spans="3:3">
      <c r="C17" s="8">
        <f>'Final Project Dataset'!N15*(1-'WHAT-IF Analysis'!$A$4)</f>
        <v>174.5709</v>
      </c>
    </row>
    <row r="18" customHeight="1" spans="3:3">
      <c r="C18" s="8">
        <f>'Final Project Dataset'!N16*(1-'WHAT-IF Analysis'!$A$4)</f>
        <v>2036.9709</v>
      </c>
    </row>
    <row r="19" customHeight="1" spans="3:3">
      <c r="C19" s="8">
        <f>'Final Project Dataset'!N17*(1-'WHAT-IF Analysis'!$A$4)</f>
        <v>872.9903</v>
      </c>
    </row>
    <row r="20" customHeight="1" spans="3:3">
      <c r="C20" s="8">
        <f>'Final Project Dataset'!N18*(1-'WHAT-IF Analysis'!$A$4)</f>
        <v>581.9612</v>
      </c>
    </row>
    <row r="21" customHeight="1" spans="3:3">
      <c r="C21" s="8">
        <f>'Final Project Dataset'!N19*(1-'WHAT-IF Analysis'!$A$4)</f>
        <v>1357.9806</v>
      </c>
    </row>
    <row r="22" customHeight="1" spans="3:3">
      <c r="C22" s="8">
        <f>'Final Project Dataset'!N20*(1-'WHAT-IF Analysis'!$A$4)</f>
        <v>3491.9612</v>
      </c>
    </row>
    <row r="23" customHeight="1" spans="3:3">
      <c r="C23" s="8">
        <f>'Final Project Dataset'!N21*(1-'WHAT-IF Analysis'!$A$4)</f>
        <v>727.4709</v>
      </c>
    </row>
    <row r="24" customHeight="1" spans="3:3">
      <c r="C24" s="8">
        <f>'Final Project Dataset'!N22*(1-'WHAT-IF Analysis'!$A$4)</f>
        <v>3394.9515</v>
      </c>
    </row>
    <row r="25" customHeight="1" spans="3:3">
      <c r="C25" s="8">
        <f>'Final Project Dataset'!N23*(1-'WHAT-IF Analysis'!$A$4)</f>
        <v>2715.9612</v>
      </c>
    </row>
    <row r="26" customHeight="1" spans="3:3">
      <c r="C26" s="8">
        <f>'Final Project Dataset'!N24*(1-'WHAT-IF Analysis'!$A$4)</f>
        <v>969.9612</v>
      </c>
    </row>
    <row r="27" customHeight="1" spans="3:3">
      <c r="C27" s="8">
        <f>'Final Project Dataset'!N25*(1-'WHAT-IF Analysis'!$A$4)</f>
        <v>1163.9612</v>
      </c>
    </row>
    <row r="28" customHeight="1" spans="3:3">
      <c r="C28" s="8">
        <f>'Final Project Dataset'!N26*(1-'WHAT-IF Analysis'!$A$4)</f>
        <v>1212.4515</v>
      </c>
    </row>
    <row r="29" customHeight="1" spans="3:3">
      <c r="C29" s="8">
        <f>'Final Project Dataset'!N27*(1-'WHAT-IF Analysis'!$A$4)</f>
        <v>1454.9515</v>
      </c>
    </row>
    <row r="30" customHeight="1" spans="3:3">
      <c r="C30" s="8">
        <f>'Final Project Dataset'!N28*(1-'WHAT-IF Analysis'!$A$4)</f>
        <v>232.7709</v>
      </c>
    </row>
    <row r="31" customHeight="1" spans="3:3">
      <c r="C31" s="8">
        <f>'Final Project Dataset'!N29*(1-'WHAT-IF Analysis'!$A$4)</f>
        <v>436.4515</v>
      </c>
    </row>
    <row r="32" customHeight="1" spans="3:3">
      <c r="C32" s="8">
        <f>'Final Project Dataset'!N30*(1-'WHAT-IF Analysis'!$A$4)</f>
        <v>116.3806</v>
      </c>
    </row>
    <row r="33" customHeight="1" spans="3:3">
      <c r="C33" s="8">
        <f>'Final Project Dataset'!N31*(1-'WHAT-IF Analysis'!$A$4)</f>
        <v>232.7612</v>
      </c>
    </row>
    <row r="34" customHeight="1" spans="3:3">
      <c r="C34" s="8">
        <f>'Final Project Dataset'!N32*(1-'WHAT-IF Analysis'!$A$4)</f>
        <v>969.9515</v>
      </c>
    </row>
    <row r="35" customHeight="1" spans="3:3">
      <c r="C35" s="8">
        <f>'Final Project Dataset'!N33*(1-'WHAT-IF Analysis'!$A$4)</f>
        <v>290.9806</v>
      </c>
    </row>
    <row r="36" customHeight="1" spans="3:3">
      <c r="C36" s="8">
        <f>'Final Project Dataset'!N34*(1-'WHAT-IF Analysis'!$A$4)</f>
        <v>436.4709</v>
      </c>
    </row>
    <row r="37" customHeight="1" spans="3:3">
      <c r="C37" s="8">
        <f>'Final Project Dataset'!N35*(1-'WHAT-IF Analysis'!$A$4)</f>
        <v>872.9903</v>
      </c>
    </row>
    <row r="38" customHeight="1" spans="3:3">
      <c r="C38" s="8">
        <f>'Final Project Dataset'!N36*(1-'WHAT-IF Analysis'!$A$4)</f>
        <v>872.9709</v>
      </c>
    </row>
    <row r="39" customHeight="1" spans="3:3">
      <c r="C39" s="8">
        <f>'Final Project Dataset'!N37*(1-'WHAT-IF Analysis'!$A$4)</f>
        <v>232.7709</v>
      </c>
    </row>
    <row r="40" customHeight="1" spans="3:3">
      <c r="C40" s="8">
        <f>'Final Project Dataset'!N38*(1-'WHAT-IF Analysis'!$A$4)</f>
        <v>581.9709</v>
      </c>
    </row>
    <row r="41" customHeight="1" spans="3:3">
      <c r="C41" s="8">
        <f>'Final Project Dataset'!N39*(1-'WHAT-IF Analysis'!$A$4)</f>
        <v>3394.9515</v>
      </c>
    </row>
    <row r="42" customHeight="1" spans="3:3">
      <c r="C42" s="8">
        <f>'Final Project Dataset'!N40*(1-'WHAT-IF Analysis'!$A$4)</f>
        <v>261.8709</v>
      </c>
    </row>
    <row r="43" customHeight="1" spans="3:3">
      <c r="C43" s="8">
        <f>'Final Project Dataset'!N41*(1-'WHAT-IF Analysis'!$A$4)</f>
        <v>77.5903</v>
      </c>
    </row>
    <row r="44" customHeight="1" spans="3:3">
      <c r="C44" s="8">
        <f>'Final Project Dataset'!N42*(1-'WHAT-IF Analysis'!$A$4)</f>
        <v>116.3806</v>
      </c>
    </row>
    <row r="45" customHeight="1" spans="3:3">
      <c r="C45" s="8">
        <f>'Final Project Dataset'!N43*(1-'WHAT-IF Analysis'!$A$4)</f>
        <v>87.2903</v>
      </c>
    </row>
    <row r="46" customHeight="1" spans="3:3">
      <c r="C46" s="8">
        <f>'Final Project Dataset'!N44*(1-'WHAT-IF Analysis'!$A$4)</f>
        <v>436.4515</v>
      </c>
    </row>
    <row r="47" customHeight="1" spans="3:3">
      <c r="C47" s="8">
        <f>'Final Project Dataset'!N45*(1-'WHAT-IF Analysis'!$A$4)</f>
        <v>1212.4515</v>
      </c>
    </row>
    <row r="48" customHeight="1" spans="3:3">
      <c r="C48" s="8">
        <f>'Final Project Dataset'!N46*(1-'WHAT-IF Analysis'!$A$4)</f>
        <v>87.2903</v>
      </c>
    </row>
    <row r="49" customHeight="1" spans="3:3">
      <c r="C49" s="8">
        <f>'Final Project Dataset'!N47*(1-'WHAT-IF Analysis'!$A$4)</f>
        <v>290.9806</v>
      </c>
    </row>
    <row r="50" customHeight="1" spans="3:3">
      <c r="C50" s="8">
        <f>'Final Project Dataset'!N48*(1-'WHAT-IF Analysis'!$A$4)</f>
        <v>232.7612</v>
      </c>
    </row>
    <row r="51" customHeight="1" spans="3:3">
      <c r="C51" s="8">
        <f>'Final Project Dataset'!N49*(1-'WHAT-IF Analysis'!$A$4)</f>
        <v>436.4515</v>
      </c>
    </row>
    <row r="52" customHeight="1" spans="3:3">
      <c r="C52" s="8">
        <f>'Final Project Dataset'!N50*(1-'WHAT-IF Analysis'!$A$4)</f>
        <v>174.5806</v>
      </c>
    </row>
    <row r="53" customHeight="1" spans="3:3">
      <c r="C53" s="8">
        <f>'Final Project Dataset'!N51*(1-'WHAT-IF Analysis'!$A$4)</f>
        <v>4364.9515</v>
      </c>
    </row>
    <row r="54" customHeight="1" spans="3:3">
      <c r="C54" s="8">
        <f>'Final Project Dataset'!N52*(1-'WHAT-IF Analysis'!$A$4)</f>
        <v>4364.9515</v>
      </c>
    </row>
    <row r="55" customHeight="1" spans="3:3">
      <c r="C55" s="8">
        <f>'Final Project Dataset'!N53*(1-'WHAT-IF Analysis'!$A$4)</f>
        <v>58.1903</v>
      </c>
    </row>
    <row r="56" customHeight="1" spans="3:3">
      <c r="C56" s="8">
        <f>'Final Project Dataset'!N54*(1-'WHAT-IF Analysis'!$A$4)</f>
        <v>581.9806</v>
      </c>
    </row>
    <row r="57" customHeight="1" spans="3:3">
      <c r="C57" s="8">
        <f>'Final Project Dataset'!N55*(1-'WHAT-IF Analysis'!$A$4)</f>
        <v>349.1612</v>
      </c>
    </row>
    <row r="58" customHeight="1" spans="3:3">
      <c r="C58" s="8">
        <f>'Final Project Dataset'!N56*(1-'WHAT-IF Analysis'!$A$4)</f>
        <v>77.5903</v>
      </c>
    </row>
    <row r="59" customHeight="1" spans="3:3">
      <c r="C59" s="8">
        <f>'Final Project Dataset'!N57*(1-'WHAT-IF Analysis'!$A$4)</f>
        <v>174.5806</v>
      </c>
    </row>
    <row r="60" customHeight="1" spans="3:3">
      <c r="C60" s="8">
        <f>'Final Project Dataset'!N58*(1-'WHAT-IF Analysis'!$A$4)</f>
        <v>2036.9709</v>
      </c>
    </row>
    <row r="61" customHeight="1" spans="3:3">
      <c r="C61" s="8">
        <f>'Final Project Dataset'!N59*(1-'WHAT-IF Analysis'!$A$4)</f>
        <v>3491.9612</v>
      </c>
    </row>
    <row r="62" customHeight="1" spans="3:3">
      <c r="C62" s="8">
        <f>'Final Project Dataset'!N60*(1-'WHAT-IF Analysis'!$A$4)</f>
        <v>145.4903</v>
      </c>
    </row>
    <row r="63" customHeight="1" spans="3:3">
      <c r="C63" s="8">
        <f>'Final Project Dataset'!N61*(1-'WHAT-IF Analysis'!$A$4)</f>
        <v>174.5806</v>
      </c>
    </row>
    <row r="64" customHeight="1" spans="3:3">
      <c r="C64" s="8">
        <f>'Final Project Dataset'!N62*(1-'WHAT-IF Analysis'!$A$4)</f>
        <v>87.2903</v>
      </c>
    </row>
    <row r="65" customHeight="1" spans="3:3">
      <c r="C65" s="8">
        <f>'Final Project Dataset'!N63*(1-'WHAT-IF Analysis'!$A$4)</f>
        <v>87.2903</v>
      </c>
    </row>
    <row r="66" customHeight="1" spans="3:3">
      <c r="C66" s="8">
        <f>'Final Project Dataset'!N64*(1-'WHAT-IF Analysis'!$A$4)</f>
        <v>387.9515</v>
      </c>
    </row>
    <row r="67" customHeight="1" spans="3:3">
      <c r="C67" s="8">
        <f>'Final Project Dataset'!N65*(1-'WHAT-IF Analysis'!$A$4)</f>
        <v>145.4903</v>
      </c>
    </row>
    <row r="68" customHeight="1" spans="3:3">
      <c r="C68" s="8">
        <f>'Final Project Dataset'!N66*(1-'WHAT-IF Analysis'!$A$4)</f>
        <v>1357.9806</v>
      </c>
    </row>
    <row r="69" customHeight="1" spans="3:3">
      <c r="C69" s="8">
        <f>'Final Project Dataset'!N67*(1-'WHAT-IF Analysis'!$A$4)</f>
        <v>436.4515</v>
      </c>
    </row>
    <row r="70" customHeight="1" spans="3:3">
      <c r="C70" s="8">
        <f>'Final Project Dataset'!N68*(1-'WHAT-IF Analysis'!$A$4)</f>
        <v>232.7612</v>
      </c>
    </row>
    <row r="71" customHeight="1" spans="3:3">
      <c r="C71" s="8">
        <f>'Final Project Dataset'!N69*(1-'WHAT-IF Analysis'!$A$4)</f>
        <v>145.4903</v>
      </c>
    </row>
    <row r="72" customHeight="1" spans="3:3">
      <c r="C72" s="8">
        <f>'Final Project Dataset'!N70*(1-'WHAT-IF Analysis'!$A$4)</f>
        <v>290.9903</v>
      </c>
    </row>
    <row r="73" customHeight="1" spans="3:3">
      <c r="C73" s="8">
        <f>'Final Project Dataset'!N71*(1-'WHAT-IF Analysis'!$A$4)</f>
        <v>387.9806</v>
      </c>
    </row>
    <row r="74" customHeight="1" spans="3:3">
      <c r="C74" s="8">
        <f>'Final Project Dataset'!N72*(1-'WHAT-IF Analysis'!$A$4)</f>
        <v>174.5709</v>
      </c>
    </row>
    <row r="75" customHeight="1" spans="3:3">
      <c r="C75" s="8">
        <f>'Final Project Dataset'!N73*(1-'WHAT-IF Analysis'!$A$4)</f>
        <v>436.4709</v>
      </c>
    </row>
    <row r="76" customHeight="1" spans="3:3">
      <c r="C76" s="8">
        <f>'Final Project Dataset'!N74*(1-'WHAT-IF Analysis'!$A$4)</f>
        <v>581.9709</v>
      </c>
    </row>
    <row r="77" customHeight="1" spans="3:3">
      <c r="C77" s="8">
        <f>'Final Project Dataset'!N75*(1-'WHAT-IF Analysis'!$A$4)</f>
        <v>872.9903</v>
      </c>
    </row>
    <row r="78" customHeight="1" spans="3:3">
      <c r="C78" s="8">
        <f>'Final Project Dataset'!N76*(1-'WHAT-IF Analysis'!$A$4)</f>
        <v>4364.9515</v>
      </c>
    </row>
    <row r="79" customHeight="1" spans="3:3">
      <c r="C79" s="8">
        <f>'Final Project Dataset'!N77*(1-'WHAT-IF Analysis'!$A$4)</f>
        <v>116.3806</v>
      </c>
    </row>
    <row r="80" customHeight="1" spans="3:3">
      <c r="C80" s="8">
        <f>'Final Project Dataset'!N78*(1-'WHAT-IF Analysis'!$A$4)</f>
        <v>969.9612</v>
      </c>
    </row>
    <row r="81" customHeight="1" spans="3:3">
      <c r="C81" s="8">
        <f>'Final Project Dataset'!N79*(1-'WHAT-IF Analysis'!$A$4)</f>
        <v>484.9806</v>
      </c>
    </row>
    <row r="82" customHeight="1" spans="3:3">
      <c r="C82" s="8">
        <f>'Final Project Dataset'!N80*(1-'WHAT-IF Analysis'!$A$4)</f>
        <v>290.9903</v>
      </c>
    </row>
    <row r="83" customHeight="1" spans="3:3">
      <c r="C83" s="8">
        <f>'Final Project Dataset'!N81*(1-'WHAT-IF Analysis'!$A$4)</f>
        <v>174.5806</v>
      </c>
    </row>
    <row r="84" customHeight="1" spans="3:3">
      <c r="C84" s="8">
        <f>'Final Project Dataset'!N82*(1-'WHAT-IF Analysis'!$A$4)</f>
        <v>872.9709</v>
      </c>
    </row>
    <row r="85" customHeight="1" spans="3:3">
      <c r="C85" s="8">
        <f>'Final Project Dataset'!N83*(1-'WHAT-IF Analysis'!$A$4)</f>
        <v>1357.9806</v>
      </c>
    </row>
    <row r="86" customHeight="1" spans="3:3">
      <c r="C86" s="8">
        <f>'Final Project Dataset'!N84*(1-'WHAT-IF Analysis'!$A$4)</f>
        <v>3491.9612</v>
      </c>
    </row>
    <row r="87" customHeight="1" spans="3:3">
      <c r="C87" s="8">
        <f>'Final Project Dataset'!N85*(1-'WHAT-IF Analysis'!$A$4)</f>
        <v>290.9806</v>
      </c>
    </row>
    <row r="88" customHeight="1" spans="3:3">
      <c r="C88" s="8">
        <f>'Final Project Dataset'!N86*(1-'WHAT-IF Analysis'!$A$4)</f>
        <v>290.9806</v>
      </c>
    </row>
    <row r="89" customHeight="1" spans="3:3">
      <c r="C89" s="8">
        <f>'Final Project Dataset'!N87*(1-'WHAT-IF Analysis'!$A$4)</f>
        <v>87.2903</v>
      </c>
    </row>
    <row r="90" customHeight="1" spans="3:3">
      <c r="C90" s="8">
        <f>'Final Project Dataset'!N88*(1-'WHAT-IF Analysis'!$A$4)</f>
        <v>1454.9515</v>
      </c>
    </row>
    <row r="91" customHeight="1" spans="3:3">
      <c r="C91" s="8">
        <f>'Final Project Dataset'!N89*(1-'WHAT-IF Analysis'!$A$4)</f>
        <v>581.9612</v>
      </c>
    </row>
    <row r="92" customHeight="1" spans="3:3">
      <c r="C92" s="8">
        <f>'Final Project Dataset'!N90*(1-'WHAT-IF Analysis'!$A$4)</f>
        <v>1212.4515</v>
      </c>
    </row>
    <row r="93" customHeight="1" spans="3:3">
      <c r="C93" s="8">
        <f>'Final Project Dataset'!N91*(1-'WHAT-IF Analysis'!$A$4)</f>
        <v>727.4709</v>
      </c>
    </row>
    <row r="94" customHeight="1" spans="3:3">
      <c r="C94" s="8">
        <f>'Final Project Dataset'!N92*(1-'WHAT-IF Analysis'!$A$4)</f>
        <v>775.9612</v>
      </c>
    </row>
    <row r="95" customHeight="1" spans="3:3">
      <c r="C95" s="8">
        <f>'Final Project Dataset'!N93*(1-'WHAT-IF Analysis'!$A$4)</f>
        <v>969.9515</v>
      </c>
    </row>
    <row r="96" customHeight="1" spans="3:3">
      <c r="C96" s="8">
        <f>'Final Project Dataset'!N94*(1-'WHAT-IF Analysis'!$A$4)</f>
        <v>174.5806</v>
      </c>
    </row>
    <row r="97" customHeight="1" spans="3:3">
      <c r="C97" s="8">
        <f>'Final Project Dataset'!N95*(1-'WHAT-IF Analysis'!$A$4)</f>
        <v>4364.9515</v>
      </c>
    </row>
    <row r="98" customHeight="1" spans="3:3">
      <c r="C98" s="8">
        <f>'Final Project Dataset'!N96*(1-'WHAT-IF Analysis'!$A$4)</f>
        <v>436.4709</v>
      </c>
    </row>
    <row r="99" customHeight="1" spans="3:3">
      <c r="C99" s="8">
        <f>'Final Project Dataset'!N97*(1-'WHAT-IF Analysis'!$A$4)</f>
        <v>727.4515</v>
      </c>
    </row>
    <row r="100" customHeight="1" spans="3:3">
      <c r="C100" s="8">
        <f>'Final Project Dataset'!N98*(1-'WHAT-IF Analysis'!$A$4)</f>
        <v>232.7709</v>
      </c>
    </row>
    <row r="101" customHeight="1" spans="3:3">
      <c r="C101" s="8">
        <f>'Final Project Dataset'!N99*(1-'WHAT-IF Analysis'!$A$4)</f>
        <v>484.9806</v>
      </c>
    </row>
    <row r="102" customHeight="1" spans="3:3">
      <c r="C102" s="8">
        <f>'Final Project Dataset'!N100*(1-'WHAT-IF Analysis'!$A$4)</f>
        <v>678.9903</v>
      </c>
    </row>
    <row r="103" customHeight="1" spans="3:3">
      <c r="C103" s="8">
        <f>'Final Project Dataset'!N101*(1-'WHAT-IF Analysis'!$A$4)</f>
        <v>436.4709</v>
      </c>
    </row>
    <row r="104" customHeight="1" spans="3:3">
      <c r="C104" s="8">
        <f>'Final Project Dataset'!N102*(1-'WHAT-IF Analysis'!$A$4)</f>
        <v>1357.9806</v>
      </c>
    </row>
    <row r="105" customHeight="1" spans="3:3">
      <c r="C105" s="8">
        <f>'Final Project Dataset'!N103*(1-'WHAT-IF Analysis'!$A$4)</f>
        <v>242.4903</v>
      </c>
    </row>
    <row r="106" customHeight="1" spans="3:3">
      <c r="C106" s="8">
        <f>'Final Project Dataset'!N104*(1-'WHAT-IF Analysis'!$A$4)</f>
        <v>242.4903</v>
      </c>
    </row>
    <row r="107" customHeight="1" spans="3:3">
      <c r="C107" s="8">
        <f>'Final Project Dataset'!N105*(1-'WHAT-IF Analysis'!$A$4)</f>
        <v>1357.9806</v>
      </c>
    </row>
    <row r="108" customHeight="1" spans="3:3">
      <c r="C108" s="8">
        <f>'Final Project Dataset'!N106*(1-'WHAT-IF Analysis'!$A$4)</f>
        <v>174.5709</v>
      </c>
    </row>
    <row r="109" customHeight="1" spans="3:3">
      <c r="C109" s="8">
        <f>'Final Project Dataset'!N107*(1-'WHAT-IF Analysis'!$A$4)</f>
        <v>174.5709</v>
      </c>
    </row>
    <row r="110" customHeight="1" spans="3:3">
      <c r="C110" s="8">
        <f>'Final Project Dataset'!N108*(1-'WHAT-IF Analysis'!$A$4)</f>
        <v>310.3612</v>
      </c>
    </row>
    <row r="111" customHeight="1" spans="3:3">
      <c r="C111" s="8">
        <f>'Final Project Dataset'!N109*(1-'WHAT-IF Analysis'!$A$4)</f>
        <v>77.5903</v>
      </c>
    </row>
    <row r="112" customHeight="1" spans="3:3">
      <c r="C112" s="8">
        <f>'Final Project Dataset'!N110*(1-'WHAT-IF Analysis'!$A$4)</f>
        <v>872.9709</v>
      </c>
    </row>
    <row r="113" customHeight="1" spans="3:3">
      <c r="C113" s="8">
        <f>'Final Project Dataset'!N111*(1-'WHAT-IF Analysis'!$A$4)</f>
        <v>174.5806</v>
      </c>
    </row>
    <row r="114" customHeight="1" spans="3:3">
      <c r="C114" s="8">
        <f>'Final Project Dataset'!N112*(1-'WHAT-IF Analysis'!$A$4)</f>
        <v>581.9612</v>
      </c>
    </row>
    <row r="115" customHeight="1" spans="3:3">
      <c r="C115" s="8">
        <f>'Final Project Dataset'!N113*(1-'WHAT-IF Analysis'!$A$4)</f>
        <v>484.9806</v>
      </c>
    </row>
    <row r="116" customHeight="1" spans="3:3">
      <c r="C116" s="8">
        <f>'Final Project Dataset'!N114*(1-'WHAT-IF Analysis'!$A$4)</f>
        <v>775.9612</v>
      </c>
    </row>
    <row r="117" customHeight="1" spans="3:3">
      <c r="C117" s="8">
        <f>'Final Project Dataset'!N115*(1-'WHAT-IF Analysis'!$A$4)</f>
        <v>436.4515</v>
      </c>
    </row>
    <row r="118" customHeight="1" spans="3:3">
      <c r="C118" s="8">
        <f>'Final Project Dataset'!N116*(1-'WHAT-IF Analysis'!$A$4)</f>
        <v>145.4903</v>
      </c>
    </row>
    <row r="119" customHeight="1" spans="3:3">
      <c r="C119" s="8">
        <f>'Final Project Dataset'!N117*(1-'WHAT-IF Analysis'!$A$4)</f>
        <v>2715.9612</v>
      </c>
    </row>
    <row r="120" customHeight="1" spans="3:3">
      <c r="C120" s="8">
        <f>'Final Project Dataset'!N118*(1-'WHAT-IF Analysis'!$A$4)</f>
        <v>2618.9709</v>
      </c>
    </row>
    <row r="121" customHeight="1" spans="3:3">
      <c r="C121" s="8">
        <f>'Final Project Dataset'!N119*(1-'WHAT-IF Analysis'!$A$4)</f>
        <v>436.4709</v>
      </c>
    </row>
    <row r="122" customHeight="1" spans="3:3">
      <c r="C122" s="8">
        <f>'Final Project Dataset'!N120*(1-'WHAT-IF Analysis'!$A$4)</f>
        <v>581.9806</v>
      </c>
    </row>
    <row r="123" customHeight="1" spans="3:3">
      <c r="C123" s="8">
        <f>'Final Project Dataset'!N121*(1-'WHAT-IF Analysis'!$A$4)</f>
        <v>193.9903</v>
      </c>
    </row>
    <row r="124" customHeight="1" spans="3:3">
      <c r="C124" s="8">
        <f>'Final Project Dataset'!N122*(1-'WHAT-IF Analysis'!$A$4)</f>
        <v>1163.9612</v>
      </c>
    </row>
    <row r="125" customHeight="1" spans="3:3">
      <c r="C125" s="8">
        <f>'Final Project Dataset'!N123*(1-'WHAT-IF Analysis'!$A$4)</f>
        <v>116.3806</v>
      </c>
    </row>
    <row r="126" customHeight="1" spans="3:3">
      <c r="C126" s="8">
        <f>'Final Project Dataset'!N124*(1-'WHAT-IF Analysis'!$A$4)</f>
        <v>581.9612</v>
      </c>
    </row>
    <row r="127" customHeight="1" spans="3:3">
      <c r="C127" s="8">
        <f>'Final Project Dataset'!N125*(1-'WHAT-IF Analysis'!$A$4)</f>
        <v>1357.9806</v>
      </c>
    </row>
    <row r="128" customHeight="1" spans="3:3">
      <c r="C128" s="8">
        <f>'Final Project Dataset'!N126*(1-'WHAT-IF Analysis'!$A$4)</f>
        <v>436.4709</v>
      </c>
    </row>
    <row r="129" customHeight="1" spans="3:3">
      <c r="C129" s="8">
        <f>'Final Project Dataset'!N127*(1-'WHAT-IF Analysis'!$A$4)</f>
        <v>872.9709</v>
      </c>
    </row>
    <row r="130" customHeight="1" spans="3:3">
      <c r="C130" s="8">
        <f>'Final Project Dataset'!N128*(1-'WHAT-IF Analysis'!$A$4)</f>
        <v>2618.9709</v>
      </c>
    </row>
    <row r="131" customHeight="1" spans="3:3">
      <c r="C131" s="8">
        <f>'Final Project Dataset'!N129*(1-'WHAT-IF Analysis'!$A$4)</f>
        <v>3394.9515</v>
      </c>
    </row>
    <row r="132" customHeight="1" spans="3:3">
      <c r="C132" s="8">
        <f>'Final Project Dataset'!N130*(1-'WHAT-IF Analysis'!$A$4)</f>
        <v>2715.9612</v>
      </c>
    </row>
    <row r="133" customHeight="1" spans="3:3">
      <c r="C133" s="8">
        <f>'Final Project Dataset'!N131*(1-'WHAT-IF Analysis'!$A$4)</f>
        <v>872.9903</v>
      </c>
    </row>
    <row r="134" customHeight="1" spans="3:3">
      <c r="C134" s="8">
        <f>'Final Project Dataset'!N132*(1-'WHAT-IF Analysis'!$A$4)</f>
        <v>290.9806</v>
      </c>
    </row>
    <row r="135" customHeight="1" spans="3:3">
      <c r="C135" s="8">
        <f>'Final Project Dataset'!N133*(1-'WHAT-IF Analysis'!$A$4)</f>
        <v>261.8709</v>
      </c>
    </row>
    <row r="136" customHeight="1" spans="3:3">
      <c r="C136" s="8">
        <f>'Final Project Dataset'!N134*(1-'WHAT-IF Analysis'!$A$4)</f>
        <v>290.9806</v>
      </c>
    </row>
    <row r="137" customHeight="1" spans="3:3">
      <c r="C137" s="8">
        <f>'Final Project Dataset'!N135*(1-'WHAT-IF Analysis'!$A$4)</f>
        <v>1357.9806</v>
      </c>
    </row>
    <row r="138" customHeight="1" spans="3:3">
      <c r="C138" s="8">
        <f>'Final Project Dataset'!N136*(1-'WHAT-IF Analysis'!$A$4)</f>
        <v>3394.9515</v>
      </c>
    </row>
    <row r="139" customHeight="1" spans="3:3">
      <c r="C139" s="8">
        <f>'Final Project Dataset'!N137*(1-'WHAT-IF Analysis'!$A$4)</f>
        <v>261.8709</v>
      </c>
    </row>
    <row r="140" customHeight="1" spans="3:3">
      <c r="C140" s="8">
        <f>'Final Project Dataset'!N138*(1-'WHAT-IF Analysis'!$A$4)</f>
        <v>1212.4515</v>
      </c>
    </row>
    <row r="141" customHeight="1" spans="3:3">
      <c r="C141" s="8">
        <f>'Final Project Dataset'!N139*(1-'WHAT-IF Analysis'!$A$4)</f>
        <v>872.9709</v>
      </c>
    </row>
    <row r="142" customHeight="1" spans="3:3">
      <c r="C142" s="8">
        <f>'Final Project Dataset'!N140*(1-'WHAT-IF Analysis'!$A$4)</f>
        <v>261.8709</v>
      </c>
    </row>
    <row r="143" customHeight="1" spans="3:3">
      <c r="C143" s="8">
        <f>'Final Project Dataset'!N141*(1-'WHAT-IF Analysis'!$A$4)</f>
        <v>290.9806</v>
      </c>
    </row>
    <row r="144" customHeight="1" spans="3:3">
      <c r="C144" s="8">
        <f>'Final Project Dataset'!N142*(1-'WHAT-IF Analysis'!$A$4)</f>
        <v>242.4903</v>
      </c>
    </row>
    <row r="145" customHeight="1" spans="3:3">
      <c r="C145" s="8">
        <f>'Final Project Dataset'!N143*(1-'WHAT-IF Analysis'!$A$4)</f>
        <v>436.4709</v>
      </c>
    </row>
    <row r="146" customHeight="1" spans="3:3">
      <c r="C146" s="8">
        <f>'Final Project Dataset'!N144*(1-'WHAT-IF Analysis'!$A$4)</f>
        <v>290.9515</v>
      </c>
    </row>
    <row r="147" customHeight="1" spans="3:3">
      <c r="C147" s="8">
        <f>'Final Project Dataset'!N145*(1-'WHAT-IF Analysis'!$A$4)</f>
        <v>969.9612</v>
      </c>
    </row>
    <row r="148" customHeight="1" spans="3:3">
      <c r="C148" s="8">
        <f>'Final Project Dataset'!N146*(1-'WHAT-IF Analysis'!$A$4)</f>
        <v>727.4515</v>
      </c>
    </row>
    <row r="149" customHeight="1" spans="3:3">
      <c r="C149" s="8">
        <f>'Final Project Dataset'!N147*(1-'WHAT-IF Analysis'!$A$4)</f>
        <v>174.5709</v>
      </c>
    </row>
    <row r="150" customHeight="1" spans="3:3">
      <c r="C150" s="8">
        <f>'Final Project Dataset'!N148*(1-'WHAT-IF Analysis'!$A$4)</f>
        <v>727.4515</v>
      </c>
    </row>
    <row r="151" customHeight="1" spans="3:3">
      <c r="C151" s="8">
        <f>'Final Project Dataset'!N149*(1-'WHAT-IF Analysis'!$A$4)</f>
        <v>1357.9806</v>
      </c>
    </row>
    <row r="152" customHeight="1" spans="3:3">
      <c r="C152" s="8">
        <f>'Final Project Dataset'!N150*(1-'WHAT-IF Analysis'!$A$4)</f>
        <v>775.9612</v>
      </c>
    </row>
    <row r="153" customHeight="1" spans="3:3">
      <c r="C153" s="8">
        <f>'Final Project Dataset'!N151*(1-'WHAT-IF Analysis'!$A$4)</f>
        <v>58.1903</v>
      </c>
    </row>
    <row r="154" customHeight="1" spans="3:3">
      <c r="C154" s="8">
        <f>'Final Project Dataset'!N152*(1-'WHAT-IF Analysis'!$A$4)</f>
        <v>2036.9709</v>
      </c>
    </row>
    <row r="155" customHeight="1" spans="3:3">
      <c r="C155" s="8">
        <f>'Final Project Dataset'!N153*(1-'WHAT-IF Analysis'!$A$4)</f>
        <v>1212.4515</v>
      </c>
    </row>
    <row r="156" customHeight="1" spans="3:3">
      <c r="C156" s="8">
        <f>'Final Project Dataset'!N154*(1-'WHAT-IF Analysis'!$A$4)</f>
        <v>290.9806</v>
      </c>
    </row>
    <row r="157" customHeight="1" spans="3:3">
      <c r="C157" s="8">
        <f>'Final Project Dataset'!N155*(1-'WHAT-IF Analysis'!$A$4)</f>
        <v>872.9709</v>
      </c>
    </row>
    <row r="158" customHeight="1" spans="3:3">
      <c r="C158" s="8">
        <f>'Final Project Dataset'!N156*(1-'WHAT-IF Analysis'!$A$4)</f>
        <v>1212.4515</v>
      </c>
    </row>
    <row r="159" customHeight="1" spans="3:3">
      <c r="C159" s="8">
        <f>'Final Project Dataset'!N157*(1-'WHAT-IF Analysis'!$A$4)</f>
        <v>290.9806</v>
      </c>
    </row>
    <row r="160" customHeight="1" spans="3:3">
      <c r="C160" s="8">
        <f>'Final Project Dataset'!N158*(1-'WHAT-IF Analysis'!$A$4)</f>
        <v>3394.9515</v>
      </c>
    </row>
    <row r="161" customHeight="1" spans="3:3">
      <c r="C161" s="8">
        <f>'Final Project Dataset'!N159*(1-'WHAT-IF Analysis'!$A$4)</f>
        <v>969.9612</v>
      </c>
    </row>
    <row r="162" customHeight="1" spans="3:3">
      <c r="C162" s="8">
        <f>'Final Project Dataset'!N160*(1-'WHAT-IF Analysis'!$A$4)</f>
        <v>2715.9612</v>
      </c>
    </row>
    <row r="163" customHeight="1" spans="3:3">
      <c r="C163" s="8">
        <f>'Final Project Dataset'!N161*(1-'WHAT-IF Analysis'!$A$4)</f>
        <v>484.9806</v>
      </c>
    </row>
    <row r="164" customHeight="1" spans="3:3">
      <c r="C164" s="8">
        <f>'Final Project Dataset'!N162*(1-'WHAT-IF Analysis'!$A$4)</f>
        <v>174.5709</v>
      </c>
    </row>
    <row r="165" customHeight="1" spans="3:3">
      <c r="C165" s="8">
        <f>'Final Project Dataset'!N163*(1-'WHAT-IF Analysis'!$A$4)</f>
        <v>310.3612</v>
      </c>
    </row>
    <row r="166" customHeight="1" spans="3:3">
      <c r="C166" s="8">
        <f>'Final Project Dataset'!N164*(1-'WHAT-IF Analysis'!$A$4)</f>
        <v>232.7709</v>
      </c>
    </row>
    <row r="167" customHeight="1" spans="3:3">
      <c r="C167" s="8">
        <f>'Final Project Dataset'!N165*(1-'WHAT-IF Analysis'!$A$4)</f>
        <v>1745.9806</v>
      </c>
    </row>
    <row r="168" customHeight="1" spans="3:3">
      <c r="C168" s="8">
        <f>'Final Project Dataset'!N166*(1-'WHAT-IF Analysis'!$A$4)</f>
        <v>145.4903</v>
      </c>
    </row>
    <row r="169" customHeight="1" spans="3:3">
      <c r="C169" s="8">
        <f>'Final Project Dataset'!N167*(1-'WHAT-IF Analysis'!$A$4)</f>
        <v>581.9806</v>
      </c>
    </row>
    <row r="170" customHeight="1" spans="3:3">
      <c r="C170" s="8">
        <f>'Final Project Dataset'!N168*(1-'WHAT-IF Analysis'!$A$4)</f>
        <v>116.3806</v>
      </c>
    </row>
    <row r="171" customHeight="1" spans="3:3">
      <c r="C171" s="8">
        <f>'Final Project Dataset'!N169*(1-'WHAT-IF Analysis'!$A$4)</f>
        <v>87.2903</v>
      </c>
    </row>
    <row r="172" customHeight="1" spans="3:3">
      <c r="C172" s="8">
        <f>'Final Project Dataset'!N170*(1-'WHAT-IF Analysis'!$A$4)</f>
        <v>4364.9515</v>
      </c>
    </row>
    <row r="173" customHeight="1" spans="3:3">
      <c r="C173" s="8">
        <f>'Final Project Dataset'!N171*(1-'WHAT-IF Analysis'!$A$4)</f>
        <v>290.9806</v>
      </c>
    </row>
    <row r="174" customHeight="1" spans="3:3">
      <c r="C174" s="8">
        <f>'Final Project Dataset'!N172*(1-'WHAT-IF Analysis'!$A$4)</f>
        <v>290.9806</v>
      </c>
    </row>
    <row r="175" customHeight="1" spans="3:3">
      <c r="C175" s="8">
        <f>'Final Project Dataset'!N173*(1-'WHAT-IF Analysis'!$A$4)</f>
        <v>436.4709</v>
      </c>
    </row>
    <row r="176" customHeight="1" spans="3:3">
      <c r="C176" s="8">
        <f>'Final Project Dataset'!N174*(1-'WHAT-IF Analysis'!$A$4)</f>
        <v>581.9806</v>
      </c>
    </row>
    <row r="177" customHeight="1" spans="3:3">
      <c r="C177" s="8">
        <f>'Final Project Dataset'!N175*(1-'WHAT-IF Analysis'!$A$4)</f>
        <v>581.9806</v>
      </c>
    </row>
    <row r="178" customHeight="1" spans="3:3">
      <c r="C178" s="8">
        <f>'Final Project Dataset'!N176*(1-'WHAT-IF Analysis'!$A$4)</f>
        <v>775.9612</v>
      </c>
    </row>
    <row r="179" customHeight="1" spans="3:3">
      <c r="C179" s="8">
        <f>'Final Project Dataset'!N177*(1-'WHAT-IF Analysis'!$A$4)</f>
        <v>87.2903</v>
      </c>
    </row>
    <row r="180" customHeight="1" spans="3:3">
      <c r="C180" s="8">
        <f>'Final Project Dataset'!N178*(1-'WHAT-IF Analysis'!$A$4)</f>
        <v>727.4515</v>
      </c>
    </row>
    <row r="181" customHeight="1" spans="3:3">
      <c r="C181" s="8">
        <f>'Final Project Dataset'!N179*(1-'WHAT-IF Analysis'!$A$4)</f>
        <v>872.9903</v>
      </c>
    </row>
    <row r="182" customHeight="1" spans="3:3">
      <c r="C182" s="8">
        <f>'Final Project Dataset'!N180*(1-'WHAT-IF Analysis'!$A$4)</f>
        <v>174.5806</v>
      </c>
    </row>
    <row r="183" customHeight="1" spans="3:3">
      <c r="C183" s="8">
        <f>'Final Project Dataset'!N181*(1-'WHAT-IF Analysis'!$A$4)</f>
        <v>872.9903</v>
      </c>
    </row>
    <row r="184" customHeight="1" spans="3:3">
      <c r="C184" s="8">
        <f>'Final Project Dataset'!N182*(1-'WHAT-IF Analysis'!$A$4)</f>
        <v>727.4515</v>
      </c>
    </row>
    <row r="185" customHeight="1" spans="3:3">
      <c r="C185" s="8">
        <f>'Final Project Dataset'!N183*(1-'WHAT-IF Analysis'!$A$4)</f>
        <v>872.9709</v>
      </c>
    </row>
    <row r="186" customHeight="1" spans="3:3">
      <c r="C186" s="8">
        <f>'Final Project Dataset'!N184*(1-'WHAT-IF Analysis'!$A$4)</f>
        <v>2036.9709</v>
      </c>
    </row>
    <row r="187" customHeight="1" spans="3:3">
      <c r="C187" s="8">
        <f>'Final Project Dataset'!N185*(1-'WHAT-IF Analysis'!$A$4)</f>
        <v>969.9515</v>
      </c>
    </row>
    <row r="188" customHeight="1" spans="3:3">
      <c r="C188" s="8">
        <f>'Final Project Dataset'!N186*(1-'WHAT-IF Analysis'!$A$4)</f>
        <v>1212.4515</v>
      </c>
    </row>
    <row r="189" customHeight="1" spans="3:3">
      <c r="C189" s="8">
        <f>'Final Project Dataset'!N187*(1-'WHAT-IF Analysis'!$A$4)</f>
        <v>581.9612</v>
      </c>
    </row>
    <row r="190" customHeight="1" spans="3:3">
      <c r="C190" s="8">
        <f>'Final Project Dataset'!N188*(1-'WHAT-IF Analysis'!$A$4)</f>
        <v>2036.9709</v>
      </c>
    </row>
    <row r="191" customHeight="1" spans="3:3">
      <c r="C191" s="8">
        <f>'Final Project Dataset'!N189*(1-'WHAT-IF Analysis'!$A$4)</f>
        <v>77.5903</v>
      </c>
    </row>
    <row r="192" customHeight="1" spans="3:3">
      <c r="C192" s="8">
        <f>'Final Project Dataset'!N190*(1-'WHAT-IF Analysis'!$A$4)</f>
        <v>290.9903</v>
      </c>
    </row>
    <row r="193" customHeight="1" spans="3:3">
      <c r="C193" s="8">
        <f>'Final Project Dataset'!N191*(1-'WHAT-IF Analysis'!$A$4)</f>
        <v>969.9612</v>
      </c>
    </row>
    <row r="194" customHeight="1" spans="3:3">
      <c r="C194" s="8">
        <f>'Final Project Dataset'!N192*(1-'WHAT-IF Analysis'!$A$4)</f>
        <v>290.9806</v>
      </c>
    </row>
    <row r="195" customHeight="1" spans="3:3">
      <c r="C195" s="8">
        <f>'Final Project Dataset'!N193*(1-'WHAT-IF Analysis'!$A$4)</f>
        <v>872.9709</v>
      </c>
    </row>
    <row r="196" customHeight="1" spans="3:3">
      <c r="C196" s="8">
        <f>'Final Project Dataset'!N194*(1-'WHAT-IF Analysis'!$A$4)</f>
        <v>775.9612</v>
      </c>
    </row>
    <row r="197" customHeight="1" spans="3:3">
      <c r="C197" s="8">
        <f>'Final Project Dataset'!N195*(1-'WHAT-IF Analysis'!$A$4)</f>
        <v>1454.9515</v>
      </c>
    </row>
    <row r="198" customHeight="1" spans="3:3">
      <c r="C198" s="8">
        <f>'Final Project Dataset'!N196*(1-'WHAT-IF Analysis'!$A$4)</f>
        <v>436.4709</v>
      </c>
    </row>
    <row r="199" customHeight="1" spans="3:3">
      <c r="C199" s="8">
        <f>'Final Project Dataset'!N197*(1-'WHAT-IF Analysis'!$A$4)</f>
        <v>290.9515</v>
      </c>
    </row>
    <row r="200" customHeight="1" spans="3:3">
      <c r="C200" s="8">
        <f>'Final Project Dataset'!N198*(1-'WHAT-IF Analysis'!$A$4)</f>
        <v>232.7612</v>
      </c>
    </row>
    <row r="201" customHeight="1" spans="3:3">
      <c r="C201" s="8">
        <f>'Final Project Dataset'!N199*(1-'WHAT-IF Analysis'!$A$4)</f>
        <v>969.9612</v>
      </c>
    </row>
    <row r="202" customHeight="1" spans="3:3">
      <c r="C202" s="8">
        <f>'Final Project Dataset'!N200*(1-'WHAT-IF Analysis'!$A$4)</f>
        <v>3491.9612</v>
      </c>
    </row>
    <row r="203" customHeight="1" spans="3:3">
      <c r="C203" s="8">
        <f>'Final Project Dataset'!N201*(1-'WHAT-IF Analysis'!$A$4)</f>
        <v>872.9709</v>
      </c>
    </row>
    <row r="204" customHeight="1" spans="3:3">
      <c r="C204" s="8">
        <f>'Final Project Dataset'!N202*(1-'WHAT-IF Analysis'!$A$4)</f>
        <v>1357.9806</v>
      </c>
    </row>
    <row r="205" customHeight="1" spans="3:3">
      <c r="C205" s="8">
        <f>'Final Project Dataset'!N203*(1-'WHAT-IF Analysis'!$A$4)</f>
        <v>2715.9612</v>
      </c>
    </row>
    <row r="206" customHeight="1" spans="3:3">
      <c r="C206" s="8">
        <f>'Final Project Dataset'!N204*(1-'WHAT-IF Analysis'!$A$4)</f>
        <v>174.5806</v>
      </c>
    </row>
    <row r="207" customHeight="1" spans="3:3">
      <c r="C207" s="8">
        <f>'Final Project Dataset'!N205*(1-'WHAT-IF Analysis'!$A$4)</f>
        <v>261.8709</v>
      </c>
    </row>
    <row r="208" customHeight="1" spans="3:3">
      <c r="C208" s="8">
        <f>'Final Project Dataset'!N206*(1-'WHAT-IF Analysis'!$A$4)</f>
        <v>58.1903</v>
      </c>
    </row>
    <row r="209" customHeight="1" spans="3:3">
      <c r="C209" s="8">
        <f>'Final Project Dataset'!N207*(1-'WHAT-IF Analysis'!$A$4)</f>
        <v>436.4709</v>
      </c>
    </row>
    <row r="210" customHeight="1" spans="3:3">
      <c r="C210" s="8">
        <f>'Final Project Dataset'!N208*(1-'WHAT-IF Analysis'!$A$4)</f>
        <v>1454.9515</v>
      </c>
    </row>
    <row r="211" customHeight="1" spans="3:3">
      <c r="C211" s="8">
        <f>'Final Project Dataset'!N209*(1-'WHAT-IF Analysis'!$A$4)</f>
        <v>290.9515</v>
      </c>
    </row>
    <row r="212" customHeight="1" spans="3:3">
      <c r="C212" s="8">
        <f>'Final Project Dataset'!N210*(1-'WHAT-IF Analysis'!$A$4)</f>
        <v>232.7709</v>
      </c>
    </row>
    <row r="213" customHeight="1" spans="3:3">
      <c r="C213" s="8">
        <f>'Final Project Dataset'!N211*(1-'WHAT-IF Analysis'!$A$4)</f>
        <v>581.9709</v>
      </c>
    </row>
    <row r="214" customHeight="1" spans="3:3">
      <c r="C214" s="8">
        <f>'Final Project Dataset'!N212*(1-'WHAT-IF Analysis'!$A$4)</f>
        <v>174.5806</v>
      </c>
    </row>
    <row r="215" customHeight="1" spans="3:3">
      <c r="C215" s="8">
        <f>'Final Project Dataset'!N213*(1-'WHAT-IF Analysis'!$A$4)</f>
        <v>290.9806</v>
      </c>
    </row>
    <row r="216" customHeight="1" spans="3:3">
      <c r="C216" s="8">
        <f>'Final Project Dataset'!N214*(1-'WHAT-IF Analysis'!$A$4)</f>
        <v>3394.9515</v>
      </c>
    </row>
    <row r="217" customHeight="1" spans="3:3">
      <c r="C217" s="8">
        <f>'Final Project Dataset'!N215*(1-'WHAT-IF Analysis'!$A$4)</f>
        <v>436.4709</v>
      </c>
    </row>
    <row r="218" customHeight="1" spans="3:3">
      <c r="C218" s="8">
        <f>'Final Project Dataset'!N216*(1-'WHAT-IF Analysis'!$A$4)</f>
        <v>2618.9709</v>
      </c>
    </row>
    <row r="219" customHeight="1" spans="3:3">
      <c r="C219" s="8">
        <f>'Final Project Dataset'!N217*(1-'WHAT-IF Analysis'!$A$4)</f>
        <v>581.9709</v>
      </c>
    </row>
    <row r="220" customHeight="1" spans="3:3">
      <c r="C220" s="8">
        <f>'Final Project Dataset'!N218*(1-'WHAT-IF Analysis'!$A$4)</f>
        <v>1454.9515</v>
      </c>
    </row>
    <row r="221" customHeight="1" spans="3:3">
      <c r="C221" s="8">
        <f>'Final Project Dataset'!N219*(1-'WHAT-IF Analysis'!$A$4)</f>
        <v>678.9903</v>
      </c>
    </row>
    <row r="222" customHeight="1" spans="3:3">
      <c r="C222" s="8">
        <f>'Final Project Dataset'!N220*(1-'WHAT-IF Analysis'!$A$4)</f>
        <v>678.9903</v>
      </c>
    </row>
    <row r="223" customHeight="1" spans="3:3">
      <c r="C223" s="8">
        <f>'Final Project Dataset'!N221*(1-'WHAT-IF Analysis'!$A$4)</f>
        <v>581.9612</v>
      </c>
    </row>
    <row r="224" customHeight="1" spans="3:3">
      <c r="C224" s="8">
        <f>'Final Project Dataset'!N222*(1-'WHAT-IF Analysis'!$A$4)</f>
        <v>436.4515</v>
      </c>
    </row>
    <row r="225" customHeight="1" spans="3:3">
      <c r="C225" s="8">
        <f>'Final Project Dataset'!N223*(1-'WHAT-IF Analysis'!$A$4)</f>
        <v>387.9806</v>
      </c>
    </row>
    <row r="226" customHeight="1" spans="3:3">
      <c r="C226" s="8">
        <f>'Final Project Dataset'!N224*(1-'WHAT-IF Analysis'!$A$4)</f>
        <v>232.7612</v>
      </c>
    </row>
    <row r="227" customHeight="1" spans="3:3">
      <c r="C227" s="8">
        <f>'Final Project Dataset'!N225*(1-'WHAT-IF Analysis'!$A$4)</f>
        <v>581.9806</v>
      </c>
    </row>
    <row r="228" customHeight="1" spans="3:3">
      <c r="C228" s="8">
        <f>'Final Project Dataset'!N226*(1-'WHAT-IF Analysis'!$A$4)</f>
        <v>290.9806</v>
      </c>
    </row>
    <row r="229" customHeight="1" spans="3:3">
      <c r="C229" s="8">
        <f>'Final Project Dataset'!N227*(1-'WHAT-IF Analysis'!$A$4)</f>
        <v>3394.9515</v>
      </c>
    </row>
    <row r="230" customHeight="1" spans="3:3">
      <c r="C230" s="8">
        <f>'Final Project Dataset'!N228*(1-'WHAT-IF Analysis'!$A$4)</f>
        <v>290.9515</v>
      </c>
    </row>
    <row r="231" customHeight="1" spans="3:3">
      <c r="C231" s="8">
        <f>'Final Project Dataset'!N229*(1-'WHAT-IF Analysis'!$A$4)</f>
        <v>174.5806</v>
      </c>
    </row>
    <row r="232" customHeight="1" spans="3:3">
      <c r="C232" s="8">
        <f>'Final Project Dataset'!N230*(1-'WHAT-IF Analysis'!$A$4)</f>
        <v>1212.4515</v>
      </c>
    </row>
    <row r="233" customHeight="1" spans="3:3">
      <c r="C233" s="8">
        <f>'Final Project Dataset'!N231*(1-'WHAT-IF Analysis'!$A$4)</f>
        <v>290.9806</v>
      </c>
    </row>
    <row r="234" customHeight="1" spans="3:3">
      <c r="C234" s="8">
        <f>'Final Project Dataset'!N232*(1-'WHAT-IF Analysis'!$A$4)</f>
        <v>4364.9515</v>
      </c>
    </row>
    <row r="235" customHeight="1" spans="3:3">
      <c r="C235" s="8">
        <f>'Final Project Dataset'!N233*(1-'WHAT-IF Analysis'!$A$4)</f>
        <v>581.9612</v>
      </c>
    </row>
    <row r="236" customHeight="1" spans="3:3">
      <c r="C236" s="8">
        <f>'Final Project Dataset'!N234*(1-'WHAT-IF Analysis'!$A$4)</f>
        <v>242.4903</v>
      </c>
    </row>
    <row r="237" customHeight="1" spans="3:3">
      <c r="C237" s="8">
        <f>'Final Project Dataset'!N235*(1-'WHAT-IF Analysis'!$A$4)</f>
        <v>116.3806</v>
      </c>
    </row>
    <row r="238" customHeight="1" spans="3:3">
      <c r="C238" s="8">
        <f>'Final Project Dataset'!N236*(1-'WHAT-IF Analysis'!$A$4)</f>
        <v>290.9806</v>
      </c>
    </row>
    <row r="239" customHeight="1" spans="3:3">
      <c r="C239" s="8">
        <f>'Final Project Dataset'!N237*(1-'WHAT-IF Analysis'!$A$4)</f>
        <v>2618.9709</v>
      </c>
    </row>
    <row r="240" customHeight="1" spans="3:3">
      <c r="C240" s="8">
        <f>'Final Project Dataset'!N238*(1-'WHAT-IF Analysis'!$A$4)</f>
        <v>2618.9709</v>
      </c>
    </row>
    <row r="241" customHeight="1" spans="3:3">
      <c r="C241" s="8">
        <f>'Final Project Dataset'!N239*(1-'WHAT-IF Analysis'!$A$4)</f>
        <v>872.9709</v>
      </c>
    </row>
    <row r="242" customHeight="1" spans="3:3">
      <c r="C242" s="8">
        <f>'Final Project Dataset'!N240*(1-'WHAT-IF Analysis'!$A$4)</f>
        <v>581.9612</v>
      </c>
    </row>
    <row r="243" customHeight="1" spans="3:3">
      <c r="C243" s="8">
        <f>'Final Project Dataset'!N241*(1-'WHAT-IF Analysis'!$A$4)</f>
        <v>310.3612</v>
      </c>
    </row>
    <row r="244" customHeight="1" spans="3:3">
      <c r="C244" s="8">
        <f>'Final Project Dataset'!N242*(1-'WHAT-IF Analysis'!$A$4)</f>
        <v>436.4515</v>
      </c>
    </row>
    <row r="245" customHeight="1" spans="3:3">
      <c r="C245" s="8">
        <f>'Final Project Dataset'!N243*(1-'WHAT-IF Analysis'!$A$4)</f>
        <v>436.4709</v>
      </c>
    </row>
    <row r="246" customHeight="1" spans="3:3">
      <c r="C246" s="8">
        <f>'Final Project Dataset'!N244*(1-'WHAT-IF Analysis'!$A$4)</f>
        <v>174.5806</v>
      </c>
    </row>
    <row r="247" customHeight="1" spans="3:3">
      <c r="C247" s="8">
        <f>'Final Project Dataset'!N245*(1-'WHAT-IF Analysis'!$A$4)</f>
        <v>1357.9806</v>
      </c>
    </row>
    <row r="248" customHeight="1" spans="3:3">
      <c r="C248" s="8">
        <f>'Final Project Dataset'!N246*(1-'WHAT-IF Analysis'!$A$4)</f>
        <v>2618.9709</v>
      </c>
    </row>
    <row r="249" customHeight="1" spans="3:3">
      <c r="C249" s="8">
        <f>'Final Project Dataset'!N247*(1-'WHAT-IF Analysis'!$A$4)</f>
        <v>232.7709</v>
      </c>
    </row>
    <row r="250" customHeight="1" spans="3:3">
      <c r="C250" s="8">
        <f>'Final Project Dataset'!N248*(1-'WHAT-IF Analysis'!$A$4)</f>
        <v>87.2903</v>
      </c>
    </row>
    <row r="251" customHeight="1" spans="3:3">
      <c r="C251" s="8">
        <f>'Final Project Dataset'!N249*(1-'WHAT-IF Analysis'!$A$4)</f>
        <v>2036.9709</v>
      </c>
    </row>
    <row r="252" customHeight="1" spans="3:3">
      <c r="C252" s="8">
        <f>'Final Project Dataset'!N250*(1-'WHAT-IF Analysis'!$A$4)</f>
        <v>174.5806</v>
      </c>
    </row>
    <row r="253" customHeight="1" spans="3:3">
      <c r="C253" s="8">
        <f>'Final Project Dataset'!N251*(1-'WHAT-IF Analysis'!$A$4)</f>
        <v>261.8709</v>
      </c>
    </row>
  </sheetData>
  <mergeCells count="1">
    <mergeCell ref="A1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Project Instructions</vt:lpstr>
      <vt:lpstr>DashBoard</vt:lpstr>
      <vt:lpstr>Quantity by Region</vt:lpstr>
      <vt:lpstr>Customer Segment by Sales</vt:lpstr>
      <vt:lpstr>Sales by Region</vt:lpstr>
      <vt:lpstr>Sales of Product</vt:lpstr>
      <vt:lpstr>Final Project Dataset</vt:lpstr>
      <vt:lpstr>Sales Analysis</vt:lpstr>
      <vt:lpstr>WHAT-IF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2025-12-21T05:37:00Z</dcterms:created>
  <dcterms:modified xsi:type="dcterms:W3CDTF">2026-03-29T10:25:33Z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9C5FBBFD626647EDBE57441555688939_12</vt:lpwstr>
  </property>
  <property fmtid="{D5CDD505-2E9C-101B-9397-08002B2CF9AE}" pid="3" name="KSOProductBuildVer">
    <vt:lpwstr>2057-12.2.0.23196</vt:lpwstr>
  </property>
</Properties>
</file>